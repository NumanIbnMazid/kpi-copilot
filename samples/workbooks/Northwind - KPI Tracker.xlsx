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Dashboard" sheetId="2" state="visible" r:id="rId2"/>
    <sheet name="Config" sheetId="3" state="visible" r:id="rId3"/>
    <sheet name="Periods" sheetId="4" state="visible" r:id="rId4"/>
    <sheet name="Task Register" sheetId="5" state="visible" r:id="rId5"/>
    <sheet name="Defect Register" sheetId="6" state="visible" r:id="rId6"/>
    <sheet name="KPI Summary" sheetId="7" state="visible" r:id="rId7"/>
    <sheet name="Open Questions" sheetId="8" state="visible" r:id="rId8"/>
    <sheet name="Run Log" sheetId="9" state="visible" r:id="rId9"/>
    <sheet name="PMS Push Log" sheetId="10" state="visible" r:id="rId10"/>
  </sheets>
  <definedNames/>
  <calcPr calcId="124519" fullCalcOnLoad="1"/>
</workbook>
</file>

<file path=xl/styles.xml><?xml version="1.0" encoding="utf-8"?>
<styleSheet xmlns="http://schemas.openxmlformats.org/spreadsheetml/2006/main">
  <numFmts count="1">
    <numFmt numFmtId="164" formatCode="yyyy-mm-dd"/>
  </numFmts>
  <fonts count="10">
    <font>
      <name val="Calibri"/>
      <family val="2"/>
      <color theme="1"/>
      <sz val="11"/>
      <scheme val="minor"/>
    </font>
    <font>
      <name val="Arial"/>
      <b val="1"/>
      <color rgb="001F3864"/>
      <sz val="14"/>
    </font>
    <font>
      <name val="Arial"/>
      <i val="1"/>
      <color rgb="00666666"/>
      <sz val="10"/>
    </font>
    <font>
      <name val="Arial"/>
      <b val="1"/>
      <color rgb="00FFFFFF"/>
      <sz val="11"/>
    </font>
    <font>
      <name val="Arial"/>
      <color rgb="00000000"/>
      <sz val="10"/>
    </font>
    <font>
      <name val="Arial"/>
      <b val="1"/>
      <color rgb="00FFFFFF"/>
      <sz val="10"/>
    </font>
    <font>
      <name val="Arial"/>
      <b val="1"/>
      <color rgb="00000000"/>
      <sz val="10"/>
    </font>
    <font>
      <name val="Arial"/>
      <color rgb="0038761D"/>
      <sz val="10"/>
    </font>
    <font>
      <name val="Arial"/>
      <color rgb="001155CC"/>
      <sz val="10"/>
      <u val="single"/>
    </font>
    <font>
      <name val="Arial"/>
      <i val="1"/>
      <color rgb="00666666"/>
      <sz val="9"/>
    </font>
  </fonts>
  <fills count="9">
    <fill>
      <patternFill/>
    </fill>
    <fill>
      <patternFill patternType="gray125"/>
    </fill>
    <fill>
      <patternFill patternType="solid">
        <fgColor rgb="002F5597"/>
      </patternFill>
    </fill>
    <fill>
      <patternFill patternType="solid">
        <fgColor rgb="00FFFFFF"/>
      </patternFill>
    </fill>
    <fill>
      <patternFill patternType="solid">
        <fgColor rgb="001F3864"/>
      </patternFill>
    </fill>
    <fill>
      <patternFill patternType="solid">
        <fgColor rgb="00F2F2F2"/>
      </patternFill>
    </fill>
    <fill>
      <patternFill patternType="solid">
        <fgColor rgb="00D9E1F2"/>
      </patternFill>
    </fill>
    <fill>
      <patternFill patternType="solid">
        <fgColor rgb="00D9E2F3"/>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bottom"/>
    </xf>
    <xf numFmtId="0" fontId="2" fillId="0" borderId="0" applyAlignment="1" pivotButton="0" quotePrefix="0" xfId="0">
      <alignment/>
    </xf>
    <xf numFmtId="0" fontId="3" fillId="2" borderId="0" applyAlignment="1" pivotButton="0" quotePrefix="0" xfId="0">
      <alignment/>
    </xf>
    <xf numFmtId="0" fontId="4" fillId="3" borderId="1" applyAlignment="1" pivotButton="0" quotePrefix="0" xfId="0">
      <alignment vertical="top" wrapText="1"/>
    </xf>
    <xf numFmtId="0" fontId="5" fillId="4" borderId="1" applyAlignment="1" pivotButton="0" quotePrefix="0" xfId="0">
      <alignment horizontal="center" vertical="center" wrapText="1"/>
    </xf>
    <xf numFmtId="0" fontId="4" fillId="5" borderId="1" applyAlignment="1" pivotButton="0" quotePrefix="0" xfId="0">
      <alignment horizontal="center" vertical="top" wrapText="1"/>
    </xf>
    <xf numFmtId="0" fontId="6" fillId="3" borderId="1" applyAlignment="1" pivotButton="0" quotePrefix="0" xfId="0">
      <alignment vertical="top" wrapText="1"/>
    </xf>
    <xf numFmtId="0" fontId="4" fillId="5" borderId="1" applyAlignment="1" pivotButton="0" quotePrefix="0" xfId="0">
      <alignment horizontal="right" vertical="top" wrapText="1"/>
    </xf>
    <xf numFmtId="0" fontId="7" fillId="3" borderId="1" applyAlignment="1" pivotButton="0" quotePrefix="0" xfId="0">
      <alignment vertical="center"/>
    </xf>
    <xf numFmtId="0" fontId="6" fillId="6" borderId="1" applyAlignment="1" pivotButton="0" quotePrefix="0" xfId="0">
      <alignment/>
    </xf>
    <xf numFmtId="0" fontId="4" fillId="5" borderId="1" applyAlignment="1" pivotButton="0" quotePrefix="0" xfId="0">
      <alignment vertical="top" wrapText="1"/>
    </xf>
    <xf numFmtId="0" fontId="6" fillId="7" borderId="1" applyAlignment="1" pivotButton="0" quotePrefix="0" xfId="0">
      <alignment vertical="top" wrapText="1"/>
    </xf>
    <xf numFmtId="0" fontId="8" fillId="3" borderId="1" applyAlignment="1" pivotButton="0" quotePrefix="0" xfId="0">
      <alignment vertical="top" wrapText="1"/>
    </xf>
    <xf numFmtId="164" fontId="4" fillId="3" borderId="1" applyAlignment="1" pivotButton="0" quotePrefix="0" xfId="0">
      <alignment vertical="top" wrapText="1"/>
    </xf>
    <xf numFmtId="0" fontId="4" fillId="8" borderId="1" applyAlignment="1" pivotButton="0" quotePrefix="0" xfId="0">
      <alignment vertical="top" wrapText="1"/>
    </xf>
    <xf numFmtId="0" fontId="9" fillId="0" borderId="0" applyAlignment="1" pivotButton="0" quotePrefix="0" xfId="0">
      <alignment vertical="top" wrapText="1"/>
    </xf>
    <xf numFmtId="0" fontId="4" fillId="3" borderId="1" applyAlignment="1" pivotButton="0" quotePrefix="0" xfId="0">
      <alignment horizontal="center" vertical="top" wrapText="1"/>
    </xf>
    <xf numFmtId="164" fontId="4" fillId="8" borderId="1" applyAlignment="1" pivotButton="0" quotePrefix="0" xfId="0">
      <alignment vertical="top" wrapText="1"/>
    </xf>
    <xf numFmtId="0" fontId="4" fillId="8" borderId="1" applyAlignment="1" pivotButton="0" quotePrefix="0" xfId="0">
      <alignment horizontal="center" vertical="top" wrapText="1"/>
    </xf>
    <xf numFmtId="0" fontId="4" fillId="8" borderId="1" applyAlignment="1" pivotButton="0" quotePrefix="0" xfId="0">
      <alignment horizontal="right" vertical="top" wrapText="1"/>
    </xf>
    <xf numFmtId="0" fontId="4" fillId="3" borderId="1" applyAlignment="1" pivotButton="0" quotePrefix="0" xfId="0">
      <alignment horizontal="right" vertical="top" wrapText="1"/>
    </xf>
  </cellXfs>
  <cellStyles count="1">
    <cellStyle name="Normal" xfId="0" builtinId="0" hidden="0"/>
  </cellStyles>
  <dxfs count="7">
    <dxf>
      <font>
        <color rgb="00CC0000"/>
      </font>
    </dxf>
    <dxf>
      <font>
        <color rgb="008C8C8C"/>
      </font>
    </dxf>
    <dxf>
      <fill>
        <patternFill patternType="solid">
          <fgColor rgb="00F8CBAD"/>
          <bgColor rgb="00F8CBAD"/>
        </patternFill>
      </fill>
    </dxf>
    <dxf>
      <fill>
        <patternFill patternType="solid">
          <fgColor rgb="00FFE599"/>
          <bgColor rgb="00FFE599"/>
        </patternFill>
      </fill>
    </dxf>
    <dxf>
      <font>
        <color rgb="00006100"/>
      </font>
      <fill>
        <patternFill patternType="solid">
          <fgColor rgb="00C6EFCE"/>
          <bgColor rgb="00C6EFCE"/>
        </patternFill>
      </fill>
    </dxf>
    <dxf>
      <font>
        <color rgb="009C0006"/>
      </font>
      <fill>
        <patternFill patternType="solid">
          <fgColor rgb="00FFC7CE"/>
          <bgColor rgb="00FFC7CE"/>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tracker.example.com/0/1100000000000001" TargetMode="External" Id="rId1" /></Relationships>
</file>

<file path=xl/worksheets/_rels/sheet5.xml.rels><Relationships xmlns="http://schemas.openxmlformats.org/package/2006/relationships"><Relationship Type="http://schemas.openxmlformats.org/officeDocument/2006/relationships/hyperlink" Target="https://tracker.example.com/0/1100000000000001/1200000000000001" TargetMode="External" Id="rId1" /><Relationship Type="http://schemas.openxmlformats.org/officeDocument/2006/relationships/hyperlink" Target="https://tracker.example.com/0/1100000000000001/c/1" TargetMode="External" Id="rId2" /><Relationship Type="http://schemas.openxmlformats.org/officeDocument/2006/relationships/hyperlink" Target="https://tracker.example.com/0/1100000000000001/1200000000000002" TargetMode="External" Id="rId3" /><Relationship Type="http://schemas.openxmlformats.org/officeDocument/2006/relationships/hyperlink" Target="https://tracker.example.com/0/1100000000000001/1200000000000003" TargetMode="External" Id="rId4" /><Relationship Type="http://schemas.openxmlformats.org/officeDocument/2006/relationships/hyperlink" Target="https://tracker.example.com/0/1100000000000001/1200000000000004" TargetMode="External" Id="rId5" /><Relationship Type="http://schemas.openxmlformats.org/officeDocument/2006/relationships/hyperlink" Target="https://tracker.example.com/0/1100000000000001/1200000000000004" TargetMode="External" Id="rId6" /><Relationship Type="http://schemas.openxmlformats.org/officeDocument/2006/relationships/hyperlink" Target="https://tracker.example.com/0/1100000000000001/1200000000000005" TargetMode="External" Id="rId7" /><Relationship Type="http://schemas.openxmlformats.org/officeDocument/2006/relationships/hyperlink" Target="https://tracker.example.com/0/1100000000000001/1200000000000006" TargetMode="External" Id="rId8" /><Relationship Type="http://schemas.openxmlformats.org/officeDocument/2006/relationships/hyperlink" Target="https://tracker.example.com/0/1100000000000001/1200000000000007" TargetMode="External" Id="rId9" /><Relationship Type="http://schemas.openxmlformats.org/officeDocument/2006/relationships/hyperlink" Target="https://tracker.example.com/0/1100000000000001/1200000000000008" TargetMode="External" Id="rId10" /><Relationship Type="http://schemas.openxmlformats.org/officeDocument/2006/relationships/hyperlink" Target="https://tracker.example.com/0/1100000000000001/1200000000000009" TargetMode="External" Id="rId11" /><Relationship Type="http://schemas.openxmlformats.org/officeDocument/2006/relationships/hyperlink" Target="https://tracker.example.com/0/1100000000000001/1200000000000010" TargetMode="External" Id="rId12" /><Relationship Type="http://schemas.openxmlformats.org/officeDocument/2006/relationships/hyperlink" Target="https://tracker.example.com/0/1100000000000001/1200000000000011" TargetMode="External" Id="rId13" /><Relationship Type="http://schemas.openxmlformats.org/officeDocument/2006/relationships/hyperlink" Target="https://tracker.example.com/0/1100000000000001/1200000000000012" TargetMode="External" Id="rId14" /><Relationship Type="http://schemas.openxmlformats.org/officeDocument/2006/relationships/hyperlink" Target="https://tracker.example.com/0/1100000000000001/1200000000000013" TargetMode="External" Id="rId15" /><Relationship Type="http://schemas.openxmlformats.org/officeDocument/2006/relationships/hyperlink" Target="https://tracker.example.com/0/1100000000000001/1200000000000014" TargetMode="External" Id="rId16" /></Relationships>
</file>

<file path=xl/worksheets/_rels/sheet6.xml.rels><Relationships xmlns="http://schemas.openxmlformats.org/package/2006/relationships"><Relationship Type="http://schemas.openxmlformats.org/officeDocument/2006/relationships/hyperlink" Target="https://tracker.example.com/0/1100000000000001/1200000000000020" TargetMode="External" Id="rId1" /><Relationship Type="http://schemas.openxmlformats.org/officeDocument/2006/relationships/hyperlink" Target="https://tracker.example.com/0/1100000000000001/1200000000000020" TargetMode="External" Id="rId2" /><Relationship Type="http://schemas.openxmlformats.org/officeDocument/2006/relationships/hyperlink" Target="https://tracker.example.com/0/1100000000000001/1200000000000021" TargetMode="External" Id="rId3" /><Relationship Type="http://schemas.openxmlformats.org/officeDocument/2006/relationships/hyperlink" Target="https://tracker.example.com/0/1100000000000001/1200000000000021" TargetMode="External" Id="rId4" /><Relationship Type="http://schemas.openxmlformats.org/officeDocument/2006/relationships/hyperlink" Target="https://tracker.example.com/0/1100000000000001/1200000000000022" TargetMode="External" Id="rId5" /><Relationship Type="http://schemas.openxmlformats.org/officeDocument/2006/relationships/hyperlink" Target="https://tracker.example.com/0/1100000000000001/1200000000000022" TargetMode="External" Id="rId6" /><Relationship Type="http://schemas.openxmlformats.org/officeDocument/2006/relationships/hyperlink" Target="https://tracker.example.com/0/1100000000000001/1200000000000023" TargetMode="External" Id="rId7" /><Relationship Type="http://schemas.openxmlformats.org/officeDocument/2006/relationships/hyperlink" Target="https://tracker.example.com/0/1100000000000001/1200000000000023" TargetMode="External" Id="rId8" /><Relationship Type="http://schemas.openxmlformats.org/officeDocument/2006/relationships/hyperlink" Target="https://tracker.example.com/0/1100000000000001/1200000000000024" TargetMode="External" Id="rId9" /><Relationship Type="http://schemas.openxmlformats.org/officeDocument/2006/relationships/hyperlink" Target="https://tracker.example.com/0/1100000000000001/1200000000000024" TargetMode="External" Id="rId10" /><Relationship Type="http://schemas.openxmlformats.org/officeDocument/2006/relationships/hyperlink" Target="https://tracker.example.com/0/1100000000000001/1200000000000025" TargetMode="External" Id="rId11" /><Relationship Type="http://schemas.openxmlformats.org/officeDocument/2006/relationships/hyperlink" Target="https://tracker.example.com/0/1100000000000001/1200000000000025" TargetMode="External" Id="rId12" /><Relationship Type="http://schemas.openxmlformats.org/officeDocument/2006/relationships/hyperlink" Target="https://tracker.example.com/0/1100000000000001/1200000000000026" TargetMode="External" Id="rId13" /><Relationship Type="http://schemas.openxmlformats.org/officeDocument/2006/relationships/hyperlink" Target="https://tracker.example.com/0/1100000000000001/1200000000000026" TargetMode="External" Id="rId14" /><Relationship Type="http://schemas.openxmlformats.org/officeDocument/2006/relationships/hyperlink" Target="https://tracker.example.com/0/1100000000000001/1200000000000027" TargetMode="External" Id="rId15" /><Relationship Type="http://schemas.openxmlformats.org/officeDocument/2006/relationships/hyperlink" Target="https://tracker.example.com/0/1100000000000001/1200000000000027" TargetMode="External" Id="rId16" /><Relationship Type="http://schemas.openxmlformats.org/officeDocument/2006/relationships/hyperlink" Target="https://tracker.example.com/0/1100000000000001/1200000000000028" TargetMode="External" Id="rId17" /><Relationship Type="http://schemas.openxmlformats.org/officeDocument/2006/relationships/hyperlink" Target="https://tracker.example.com/0/1100000000000001/1200000000000028" TargetMode="External" Id="rId18" /><Relationship Type="http://schemas.openxmlformats.org/officeDocument/2006/relationships/hyperlink" Target="https://tracker.example.com/0/1100000000000001/1200000000000029" TargetMode="External" Id="rId19" /><Relationship Type="http://schemas.openxmlformats.org/officeDocument/2006/relationships/hyperlink" Target="https://tracker.example.com/0/1100000000000001/1200000000000029" TargetMode="External" Id="rId20" /><Relationship Type="http://schemas.openxmlformats.org/officeDocument/2006/relationships/hyperlink" Target="https://tracker.example.com/0/1100000000000001/1200000000000030" TargetMode="External" Id="rId21" /><Relationship Type="http://schemas.openxmlformats.org/officeDocument/2006/relationships/hyperlink" Target="https://tracker.example.com/0/1100000000000001/1200000000000030" TargetMode="External" Id="rId22" /></Relationships>
</file>

<file path=xl/worksheets/sheet1.xml><?xml version="1.0" encoding="utf-8"?>
<worksheet xmlns="http://schemas.openxmlformats.org/spreadsheetml/2006/main">
  <sheetPr>
    <tabColor rgb="001F3864"/>
    <outlinePr summaryBelow="1" summaryRight="1"/>
    <pageSetUpPr/>
  </sheetPr>
  <dimension ref="B1:B28"/>
  <sheetViews>
    <sheetView showGridLines="0" workbookViewId="0">
      <selection activeCell="A1" sqref="A1"/>
    </sheetView>
  </sheetViews>
  <sheetFormatPr baseColWidth="8" defaultRowHeight="15"/>
  <cols>
    <col width="3" customWidth="1" min="1" max="1"/>
    <col width="120" customWidth="1" min="2" max="2"/>
  </cols>
  <sheetData>
    <row r="1">
      <c r="B1" s="1" t="inlineStr">
        <is>
          <t>KPI Tracker: how this sheet works</t>
        </is>
      </c>
    </row>
    <row r="2">
      <c r="B2" s="2" t="inlineStr">
        <is>
          <t>Built and refreshed by KPI Copilot 2.1.0. Every run updates this same sheet; what you typed in yellow cells is read back first and kept.</t>
        </is>
      </c>
    </row>
    <row r="4">
      <c r="B4" s="3" t="inlineStr">
        <is>
          <t>Tabs</t>
        </is>
      </c>
    </row>
    <row r="5">
      <c r="B5" s="4" t="inlineStr">
        <is>
          <t>Dashboard: totals per period and KPI results with coloured bars. Nothing to type here.</t>
        </is>
      </c>
    </row>
    <row r="6">
      <c r="B6" s="4" t="inlineStr">
        <is>
          <t>Config: project details, counting rules, KPI targets, and the project dates used when a period or task has none.</t>
        </is>
      </c>
    </row>
    <row r="7">
      <c r="B7" s="4" t="inlineStr">
        <is>
          <t>Periods: one row per KPI period with its dates, notes and PMS period ID.</t>
        </is>
      </c>
    </row>
    <row r="8">
      <c r="B8" s="4" t="inlineStr">
        <is>
          <t>Task Register: every planned task and additional request, with the evidence behind each Yes/No.</t>
        </is>
      </c>
    </row>
    <row r="9">
      <c r="B9" s="4" t="inlineStr">
        <is>
          <t>Defect Register: every bug, observation or improvement, including rejected ones.</t>
        </is>
      </c>
    </row>
    <row r="10">
      <c r="B10" s="4" t="inlineStr">
        <is>
          <t>KPI Summary: the nine PMS KPIs per period, the facts behind each number, your reason, and the note that goes to PMS.</t>
        </is>
      </c>
    </row>
    <row r="11">
      <c r="B11" s="4" t="inlineStr">
        <is>
          <t>Open Questions: what the sources could not answer. Answer in the yellow cell; the next run keeps it.</t>
        </is>
      </c>
    </row>
    <row r="12">
      <c r="B12" s="4" t="inlineStr">
        <is>
          <t>Run Log: which sources this run read, which it did not, and how long it took.</t>
        </is>
      </c>
    </row>
    <row r="13">
      <c r="B13" s="4" t="inlineStr">
        <is>
          <t>PMS Push Log: what was sent to PMS and when.</t>
        </is>
      </c>
    </row>
    <row r="15">
      <c r="B15" s="3" t="inlineStr">
        <is>
          <t>How to read and change it</t>
        </is>
      </c>
    </row>
    <row r="16">
      <c r="B16" s="4" t="inlineStr">
        <is>
          <t>Yellow cells are yours: change one and every formula follows at once. The next run reads your change back and keeps it - it is never overwritten.</t>
        </is>
      </c>
    </row>
    <row r="17">
      <c r="B17" s="4" t="inlineStr">
        <is>
          <t>White cells were read from the tracker, the plan or the estimates. Grey cells are worked out. Editing either achieves nothing; the next run rebuilds them.</t>
        </is>
      </c>
    </row>
    <row r="18">
      <c r="B18" s="4" t="inlineStr">
        <is>
          <t>The Check column says how a row was decided when it was not obvious: a tag read tolerantly ('read [Exisiting] as Existing'), a loose match to the plan, a call an assistant made and why. Disagree by changing the yellow cell.</t>
        </is>
      </c>
    </row>
    <row r="19">
      <c r="B19" s="4" t="inlineStr">
        <is>
          <t>Dates: a date on the task wins, then the period date, then the project date in Config. Leave a cell empty to use the next level.</t>
        </is>
      </c>
    </row>
    <row r="20">
      <c r="B20" s="4" t="inlineStr">
        <is>
          <t>Client date check (Periods or Config): Handover = the build reached the client by the date; Delivery = the item was delivered by the date.</t>
        </is>
      </c>
    </row>
    <row r="21">
      <c r="B21" s="4" t="inlineStr">
        <is>
          <t>'Since the last run' on KPI Summary speaks up when the sheet's live number no longer matches what the run computed. Run again before anything goes to PMS: PMS always receives what the run computed, never what was typed.</t>
        </is>
      </c>
    </row>
    <row r="22">
      <c r="B22" s="4" t="inlineStr">
        <is>
          <t>To set a KPI value by hand, use 'Set value by hand' with a reason. Both figures are kept and the note says a person recorded a different one.</t>
        </is>
      </c>
    </row>
    <row r="24">
      <c r="B24" s="3" t="inlineStr">
        <is>
          <t>Note format sent to PMS</t>
        </is>
      </c>
    </row>
    <row r="25">
      <c r="B25" s="4" t="inlineStr">
        <is>
          <t>What the numbers say, in sentences || what was left out || why (your reason). Links never go to PMS; they live here, on the rows.</t>
        </is>
      </c>
    </row>
    <row r="27">
      <c r="B27" s="3" t="inlineStr">
        <is>
          <t>Period names</t>
        </is>
      </c>
    </row>
    <row r="28">
      <c r="B28" s="4" t="inlineStr">
        <is>
          <t>Initial Scope, Additional Requests 1, 2 ..., Milestone 1, 2 ..., Full Project (25 characters at most).</t>
        </is>
      </c>
    </row>
  </sheetData>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Y37"/>
  <sheetViews>
    <sheetView showGridLines="0" workbookViewId="0">
      <selection activeCell="A1" sqref="A1"/>
    </sheetView>
  </sheetViews>
  <sheetFormatPr baseColWidth="8" defaultRowHeight="15"/>
  <cols>
    <col width="4" customWidth="1" min="1" max="1"/>
    <col width="22" customWidth="1" min="2" max="2"/>
    <col width="12" customWidth="1" min="3" max="3"/>
    <col width="14" customWidth="1" min="4" max="4"/>
    <col width="12" customWidth="1" min="5" max="5"/>
    <col width="12" customWidth="1" min="6" max="6"/>
    <col width="12" customWidth="1" min="7" max="7"/>
    <col width="12" customWidth="1" min="8" max="8"/>
    <col width="12" customWidth="1" min="9" max="9"/>
    <col width="10" customWidth="1" min="10" max="10"/>
    <col width="12" customWidth="1" min="11" max="11"/>
    <col width="10" customWidth="1" min="12" max="12"/>
    <col width="12" customWidth="1" min="13" max="13"/>
    <col width="12" customWidth="1" min="14" max="14"/>
    <col width="12" customWidth="1" min="15" max="15"/>
    <col width="3" customWidth="1" min="16" max="16"/>
    <col width="22" customWidth="1" min="17" max="17"/>
    <col width="22" customWidth="1" min="18" max="18"/>
    <col hidden="1" width="13" customWidth="1" min="20" max="20"/>
    <col hidden="1" width="13" customWidth="1" min="21" max="21"/>
    <col hidden="1" width="13" customWidth="1" min="22" max="22"/>
    <col hidden="1" width="13" customWidth="1" min="23" max="23"/>
    <col hidden="1" width="13" customWidth="1" min="24" max="24"/>
    <col hidden="1" width="13" customWidth="1" min="25" max="25"/>
  </cols>
  <sheetData>
    <row r="1">
      <c r="A1" s="1">
        <f>"KPI Dashboard: "&amp;Config!$C$4</f>
        <v/>
      </c>
    </row>
    <row r="2">
      <c r="A2" s="2">
        <f>"PMS project "&amp;Config!$C$6&amp;"  ·  Velocity in "&amp;Config!$C$18&amp;"  ·  Data pulled 2026-09-18  ·  Everything here is calculated from the other tabs."</f>
        <v/>
      </c>
    </row>
    <row r="4">
      <c r="A4" s="3" t="inlineStr">
        <is>
          <t>Work and issues by period</t>
        </is>
      </c>
      <c r="B4" s="3" t="n"/>
      <c r="C4" s="3" t="n"/>
      <c r="D4" s="3" t="n"/>
      <c r="E4" s="3" t="n"/>
      <c r="F4" s="3" t="n"/>
      <c r="G4" s="3" t="n"/>
      <c r="H4" s="3" t="n"/>
      <c r="I4" s="3" t="n"/>
      <c r="J4" s="3" t="n"/>
      <c r="K4" s="3" t="n"/>
      <c r="L4" s="3" t="n"/>
      <c r="M4" s="3" t="n"/>
      <c r="N4" s="3" t="n"/>
      <c r="O4" s="3" t="n"/>
      <c r="P4" s="3" t="n"/>
      <c r="Q4" s="3" t="n"/>
      <c r="R4" s="3" t="n"/>
    </row>
    <row r="5" ht="31.5" customHeight="1">
      <c r="A5" s="5" t="inlineStr">
        <is>
          <t>#</t>
        </is>
      </c>
      <c r="B5" s="5" t="inlineStr">
        <is>
          <t>Period</t>
        </is>
      </c>
      <c r="C5" s="5" t="inlineStr">
        <is>
          <t>Delivered</t>
        </is>
      </c>
      <c r="D5" s="5" t="inlineStr">
        <is>
          <t>Not delivered yet</t>
        </is>
      </c>
      <c r="E5" s="5" t="inlineStr">
        <is>
          <t>Planned tasks</t>
        </is>
      </c>
      <c r="F5" s="5" t="inlineStr">
        <is>
          <t>Additional requests</t>
        </is>
      </c>
      <c r="G5" s="5" t="inlineStr">
        <is>
          <t>Completed</t>
        </is>
      </c>
      <c r="H5" s="5" t="inlineStr">
        <is>
          <t>Issues reported</t>
        </is>
      </c>
      <c r="I5" s="5" t="inlineStr">
        <is>
          <t>Bugs counted</t>
        </is>
      </c>
      <c r="J5" s="5" t="inlineStr">
        <is>
          <t>Rejected</t>
        </is>
      </c>
      <c r="K5" s="5" t="inlineStr">
        <is>
          <t>Found after handover</t>
        </is>
      </c>
      <c r="L5" s="5" t="inlineStr">
        <is>
          <t>Reopened</t>
        </is>
      </c>
      <c r="M5" s="5" t="inlineStr">
        <is>
          <t>Client date</t>
        </is>
      </c>
      <c r="N5" s="5" t="inlineStr">
        <is>
          <t>Commit date</t>
        </is>
      </c>
      <c r="O5" s="5" t="inlineStr">
        <is>
          <t>Handed over</t>
        </is>
      </c>
      <c r="Q5" s="5" t="inlineStr">
        <is>
          <t>Delivered (green) vs not yet (grey)</t>
        </is>
      </c>
      <c r="R5" s="5" t="inlineStr">
        <is>
          <t>Bugs (red) vs other issues (orange)</t>
        </is>
      </c>
    </row>
    <row r="6">
      <c r="A6" s="6">
        <f>IF($B6="","",ROW()-5)</f>
        <v/>
      </c>
      <c r="B6" s="7">
        <f>IFERROR(INDEX(Periods!$B$5:$B$200,ROW()-5)&amp;"","")</f>
        <v/>
      </c>
      <c r="C6" s="8">
        <f>IF($B6="","",COUNTIFS('Task Register'!$B$4:$B$999,$B6,'Task Register'!$F$4:$F$999,"&lt;&gt;Excluded",'Task Register'!$M$4:$M$999,"&gt;0"))</f>
        <v/>
      </c>
      <c r="D6" s="8">
        <f>IF($B6="","",COUNTIFS('Task Register'!$B$4:$B$999,$B6,'Task Register'!$F$4:$F$999,"&lt;&gt;Excluded")-COUNTIFS('Task Register'!$B$4:$B$999,$B6,'Task Register'!$F$4:$F$999,"&lt;&gt;Excluded",'Task Register'!$M$4:$M$999,"&gt;0"))</f>
        <v/>
      </c>
      <c r="E6" s="8">
        <f>IF($B6="","",COUNTIFS('Task Register'!$B$4:$B$999,$B6,'Task Register'!$F$4:$F$999,"&lt;&gt;Excluded",'Task Register'!$G$4:$G$999,"Yes"))</f>
        <v/>
      </c>
      <c r="F6" s="8">
        <f>IF($B6="","",COUNTIFS('Task Register'!$B$4:$B$999,$B6,'Task Register'!$F$4:$F$999,"CR"))</f>
        <v/>
      </c>
      <c r="G6" s="8">
        <f>IF($B6="","",ROUND(SUMIFS('KPI Summary'!$E$4:$E$999,'KPI Summary'!$A$4:$A$999,$B6,'KPI Summary'!$C$4:$C$999,"Velocity"),2)&amp;IF(Config!$C$18="Story Points"," pts"," h"))</f>
        <v/>
      </c>
      <c r="H6" s="8">
        <f>IF($B6="","",COUNTIFS('Defect Register'!$B$4:$B$999,$B6))</f>
        <v/>
      </c>
      <c r="I6" s="8">
        <f>IF($B6="","",COUNTIFS('Defect Register'!$B$4:$B$999,$B6,'Defect Register'!$O$4:$O$999,"Yes"))</f>
        <v/>
      </c>
      <c r="J6" s="8">
        <f>IF($B6="","",COUNTIFS('Defect Register'!$B$4:$B$999,$B6,'Defect Register'!$K$4:$K$999,"Yes"))</f>
        <v/>
      </c>
      <c r="K6" s="8">
        <f>IF($B6="","",COUNTIFS('Defect Register'!$B$4:$B$999,$B6,'Defect Register'!$I$4:$I$999,"Post-release",'Defect Register'!$K$4:$K$999,"&lt;&gt;Yes"))</f>
        <v/>
      </c>
      <c r="L6" s="8">
        <f>IF($B6="","",COUNTIFS('Task Register'!$B$4:$B$999,$B6,'Task Register'!$F$4:$F$999,"&lt;&gt;Excluded",'Task Register'!$AP$4:$AP$999,"&gt;0",'Task Register'!$Y$4:$Y$999,"Yes"))</f>
        <v/>
      </c>
      <c r="M6" s="6">
        <f>IF($B6="","",IF(N(IFERROR(INDEX(Periods!$F$5:$F$200,MATCH($B6,Periods!$B$5:$B$200,0)),""))&gt;0,TEXT(IFERROR(INDEX(Periods!$F$5:$F$200,MATCH($B6,Periods!$B$5:$B$200,0)),""),"mm/dd/yyyy"),IF(N(Config!$C$40)&gt;0,TEXT(Config!$C$40,"mm/dd/yyyy"),"-")))</f>
        <v/>
      </c>
      <c r="N6" s="6">
        <f>IF($B6="","",IF(N(IFERROR(INDEX(Periods!$G$5:$G$200,MATCH($B6,Periods!$B$5:$B$200,0)),""))&gt;0,TEXT(IFERROR(INDEX(Periods!$G$5:$G$200,MATCH($B6,Periods!$B$5:$B$200,0)),""),"mm/dd/yyyy"),IF(N(Config!$C$41)&gt;0,TEXT(Config!$C$41,"mm/dd/yyyy"),"-")))</f>
        <v/>
      </c>
      <c r="O6" s="6">
        <f>IF($B6="","",IF(N(IFERROR(INDEX(Periods!$H$5:$H$200,MATCH($B6,Periods!$B$5:$B$200,0)),""))&gt;0,TEXT(IFERROR(INDEX(Periods!$H$5:$H$200,MATCH($B6,Periods!$B$5:$B$200,0)),""),"mm/dd/yyyy"),"Not yet"))</f>
        <v/>
      </c>
      <c r="Q6" s="9">
        <f>IF($B6="","",REPT("█",ROUND(N(C6)/MAX(1,$C$6:$C$17,$D$6:$D$17)*18,0))&amp;REPT("░",ROUND(N(D6)/MAX(1,$C$6:$C$17,$D$6:$D$17)*18,0)))</f>
        <v/>
      </c>
      <c r="R6" s="9">
        <f>IF($B6="","",REPT("█",ROUND(N(I6)/MAX(1,$H$6:$H$17)*18,0))&amp;REPT("░",ROUND((N(H6)-N(I6))/MAX(1,$H$6:$H$17)*18,0)))</f>
        <v/>
      </c>
    </row>
    <row r="7">
      <c r="A7" s="6">
        <f>IF($B7="","",ROW()-5)</f>
        <v/>
      </c>
      <c r="B7" s="7">
        <f>IFERROR(INDEX(Periods!$B$5:$B$200,ROW()-5)&amp;"","")</f>
        <v/>
      </c>
      <c r="C7" s="8">
        <f>IF($B7="","",COUNTIFS('Task Register'!$B$4:$B$999,$B7,'Task Register'!$F$4:$F$999,"&lt;&gt;Excluded",'Task Register'!$M$4:$M$999,"&gt;0"))</f>
        <v/>
      </c>
      <c r="D7" s="8">
        <f>IF($B7="","",COUNTIFS('Task Register'!$B$4:$B$999,$B7,'Task Register'!$F$4:$F$999,"&lt;&gt;Excluded")-COUNTIFS('Task Register'!$B$4:$B$999,$B7,'Task Register'!$F$4:$F$999,"&lt;&gt;Excluded",'Task Register'!$M$4:$M$999,"&gt;0"))</f>
        <v/>
      </c>
      <c r="E7" s="8">
        <f>IF($B7="","",COUNTIFS('Task Register'!$B$4:$B$999,$B7,'Task Register'!$F$4:$F$999,"&lt;&gt;Excluded",'Task Register'!$G$4:$G$999,"Yes"))</f>
        <v/>
      </c>
      <c r="F7" s="8">
        <f>IF($B7="","",COUNTIFS('Task Register'!$B$4:$B$999,$B7,'Task Register'!$F$4:$F$999,"CR"))</f>
        <v/>
      </c>
      <c r="G7" s="8">
        <f>IF($B7="","",ROUND(SUMIFS('KPI Summary'!$E$4:$E$999,'KPI Summary'!$A$4:$A$999,$B7,'KPI Summary'!$C$4:$C$999,"Velocity"),2)&amp;IF(Config!$C$18="Story Points"," pts"," h"))</f>
        <v/>
      </c>
      <c r="H7" s="8">
        <f>IF($B7="","",COUNTIFS('Defect Register'!$B$4:$B$999,$B7))</f>
        <v/>
      </c>
      <c r="I7" s="8">
        <f>IF($B7="","",COUNTIFS('Defect Register'!$B$4:$B$999,$B7,'Defect Register'!$O$4:$O$999,"Yes"))</f>
        <v/>
      </c>
      <c r="J7" s="8">
        <f>IF($B7="","",COUNTIFS('Defect Register'!$B$4:$B$999,$B7,'Defect Register'!$K$4:$K$999,"Yes"))</f>
        <v/>
      </c>
      <c r="K7" s="8">
        <f>IF($B7="","",COUNTIFS('Defect Register'!$B$4:$B$999,$B7,'Defect Register'!$I$4:$I$999,"Post-release",'Defect Register'!$K$4:$K$999,"&lt;&gt;Yes"))</f>
        <v/>
      </c>
      <c r="L7" s="8">
        <f>IF($B7="","",COUNTIFS('Task Register'!$B$4:$B$999,$B7,'Task Register'!$F$4:$F$999,"&lt;&gt;Excluded",'Task Register'!$AP$4:$AP$999,"&gt;0",'Task Register'!$Y$4:$Y$999,"Yes"))</f>
        <v/>
      </c>
      <c r="M7" s="6">
        <f>IF($B7="","",IF(N(IFERROR(INDEX(Periods!$F$5:$F$200,MATCH($B7,Periods!$B$5:$B$200,0)),""))&gt;0,TEXT(IFERROR(INDEX(Periods!$F$5:$F$200,MATCH($B7,Periods!$B$5:$B$200,0)),""),"mm/dd/yyyy"),IF(N(Config!$C$40)&gt;0,TEXT(Config!$C$40,"mm/dd/yyyy"),"-")))</f>
        <v/>
      </c>
      <c r="N7" s="6">
        <f>IF($B7="","",IF(N(IFERROR(INDEX(Periods!$G$5:$G$200,MATCH($B7,Periods!$B$5:$B$200,0)),""))&gt;0,TEXT(IFERROR(INDEX(Periods!$G$5:$G$200,MATCH($B7,Periods!$B$5:$B$200,0)),""),"mm/dd/yyyy"),IF(N(Config!$C$41)&gt;0,TEXT(Config!$C$41,"mm/dd/yyyy"),"-")))</f>
        <v/>
      </c>
      <c r="O7" s="6">
        <f>IF($B7="","",IF(N(IFERROR(INDEX(Periods!$H$5:$H$200,MATCH($B7,Periods!$B$5:$B$200,0)),""))&gt;0,TEXT(IFERROR(INDEX(Periods!$H$5:$H$200,MATCH($B7,Periods!$B$5:$B$200,0)),""),"mm/dd/yyyy"),"Not yet"))</f>
        <v/>
      </c>
      <c r="Q7" s="9">
        <f>IF($B7="","",REPT("█",ROUND(N(C7)/MAX(1,$C$6:$C$17,$D$6:$D$17)*18,0))&amp;REPT("░",ROUND(N(D7)/MAX(1,$C$6:$C$17,$D$6:$D$17)*18,0)))</f>
        <v/>
      </c>
      <c r="R7" s="9">
        <f>IF($B7="","",REPT("█",ROUND(N(I7)/MAX(1,$H$6:$H$17)*18,0))&amp;REPT("░",ROUND((N(H7)-N(I7))/MAX(1,$H$6:$H$17)*18,0)))</f>
        <v/>
      </c>
    </row>
    <row r="8">
      <c r="A8" s="6">
        <f>IF($B8="","",ROW()-5)</f>
        <v/>
      </c>
      <c r="B8" s="7">
        <f>IFERROR(INDEX(Periods!$B$5:$B$200,ROW()-5)&amp;"","")</f>
        <v/>
      </c>
      <c r="C8" s="8">
        <f>IF($B8="","",COUNTIFS('Task Register'!$B$4:$B$999,$B8,'Task Register'!$F$4:$F$999,"&lt;&gt;Excluded",'Task Register'!$M$4:$M$999,"&gt;0"))</f>
        <v/>
      </c>
      <c r="D8" s="8">
        <f>IF($B8="","",COUNTIFS('Task Register'!$B$4:$B$999,$B8,'Task Register'!$F$4:$F$999,"&lt;&gt;Excluded")-COUNTIFS('Task Register'!$B$4:$B$999,$B8,'Task Register'!$F$4:$F$999,"&lt;&gt;Excluded",'Task Register'!$M$4:$M$999,"&gt;0"))</f>
        <v/>
      </c>
      <c r="E8" s="8">
        <f>IF($B8="","",COUNTIFS('Task Register'!$B$4:$B$999,$B8,'Task Register'!$F$4:$F$999,"&lt;&gt;Excluded",'Task Register'!$G$4:$G$999,"Yes"))</f>
        <v/>
      </c>
      <c r="F8" s="8">
        <f>IF($B8="","",COUNTIFS('Task Register'!$B$4:$B$999,$B8,'Task Register'!$F$4:$F$999,"CR"))</f>
        <v/>
      </c>
      <c r="G8" s="8">
        <f>IF($B8="","",ROUND(SUMIFS('KPI Summary'!$E$4:$E$999,'KPI Summary'!$A$4:$A$999,$B8,'KPI Summary'!$C$4:$C$999,"Velocity"),2)&amp;IF(Config!$C$18="Story Points"," pts"," h"))</f>
        <v/>
      </c>
      <c r="H8" s="8">
        <f>IF($B8="","",COUNTIFS('Defect Register'!$B$4:$B$999,$B8))</f>
        <v/>
      </c>
      <c r="I8" s="8">
        <f>IF($B8="","",COUNTIFS('Defect Register'!$B$4:$B$999,$B8,'Defect Register'!$O$4:$O$999,"Yes"))</f>
        <v/>
      </c>
      <c r="J8" s="8">
        <f>IF($B8="","",COUNTIFS('Defect Register'!$B$4:$B$999,$B8,'Defect Register'!$K$4:$K$999,"Yes"))</f>
        <v/>
      </c>
      <c r="K8" s="8">
        <f>IF($B8="","",COUNTIFS('Defect Register'!$B$4:$B$999,$B8,'Defect Register'!$I$4:$I$999,"Post-release",'Defect Register'!$K$4:$K$999,"&lt;&gt;Yes"))</f>
        <v/>
      </c>
      <c r="L8" s="8">
        <f>IF($B8="","",COUNTIFS('Task Register'!$B$4:$B$999,$B8,'Task Register'!$F$4:$F$999,"&lt;&gt;Excluded",'Task Register'!$AP$4:$AP$999,"&gt;0",'Task Register'!$Y$4:$Y$999,"Yes"))</f>
        <v/>
      </c>
      <c r="M8" s="6">
        <f>IF($B8="","",IF(N(IFERROR(INDEX(Periods!$F$5:$F$200,MATCH($B8,Periods!$B$5:$B$200,0)),""))&gt;0,TEXT(IFERROR(INDEX(Periods!$F$5:$F$200,MATCH($B8,Periods!$B$5:$B$200,0)),""),"mm/dd/yyyy"),IF(N(Config!$C$40)&gt;0,TEXT(Config!$C$40,"mm/dd/yyyy"),"-")))</f>
        <v/>
      </c>
      <c r="N8" s="6">
        <f>IF($B8="","",IF(N(IFERROR(INDEX(Periods!$G$5:$G$200,MATCH($B8,Periods!$B$5:$B$200,0)),""))&gt;0,TEXT(IFERROR(INDEX(Periods!$G$5:$G$200,MATCH($B8,Periods!$B$5:$B$200,0)),""),"mm/dd/yyyy"),IF(N(Config!$C$41)&gt;0,TEXT(Config!$C$41,"mm/dd/yyyy"),"-")))</f>
        <v/>
      </c>
      <c r="O8" s="6">
        <f>IF($B8="","",IF(N(IFERROR(INDEX(Periods!$H$5:$H$200,MATCH($B8,Periods!$B$5:$B$200,0)),""))&gt;0,TEXT(IFERROR(INDEX(Periods!$H$5:$H$200,MATCH($B8,Periods!$B$5:$B$200,0)),""),"mm/dd/yyyy"),"Not yet"))</f>
        <v/>
      </c>
      <c r="Q8" s="9">
        <f>IF($B8="","",REPT("█",ROUND(N(C8)/MAX(1,$C$6:$C$17,$D$6:$D$17)*18,0))&amp;REPT("░",ROUND(N(D8)/MAX(1,$C$6:$C$17,$D$6:$D$17)*18,0)))</f>
        <v/>
      </c>
      <c r="R8" s="9">
        <f>IF($B8="","",REPT("█",ROUND(N(I8)/MAX(1,$H$6:$H$17)*18,0))&amp;REPT("░",ROUND((N(H8)-N(I8))/MAX(1,$H$6:$H$17)*18,0)))</f>
        <v/>
      </c>
    </row>
    <row r="9">
      <c r="A9" s="6">
        <f>IF($B9="","",ROW()-5)</f>
        <v/>
      </c>
      <c r="B9" s="7">
        <f>IFERROR(INDEX(Periods!$B$5:$B$200,ROW()-5)&amp;"","")</f>
        <v/>
      </c>
      <c r="C9" s="8">
        <f>IF($B9="","",COUNTIFS('Task Register'!$B$4:$B$999,$B9,'Task Register'!$F$4:$F$999,"&lt;&gt;Excluded",'Task Register'!$M$4:$M$999,"&gt;0"))</f>
        <v/>
      </c>
      <c r="D9" s="8">
        <f>IF($B9="","",COUNTIFS('Task Register'!$B$4:$B$999,$B9,'Task Register'!$F$4:$F$999,"&lt;&gt;Excluded")-COUNTIFS('Task Register'!$B$4:$B$999,$B9,'Task Register'!$F$4:$F$999,"&lt;&gt;Excluded",'Task Register'!$M$4:$M$999,"&gt;0"))</f>
        <v/>
      </c>
      <c r="E9" s="8">
        <f>IF($B9="","",COUNTIFS('Task Register'!$B$4:$B$999,$B9,'Task Register'!$F$4:$F$999,"&lt;&gt;Excluded",'Task Register'!$G$4:$G$999,"Yes"))</f>
        <v/>
      </c>
      <c r="F9" s="8">
        <f>IF($B9="","",COUNTIFS('Task Register'!$B$4:$B$999,$B9,'Task Register'!$F$4:$F$999,"CR"))</f>
        <v/>
      </c>
      <c r="G9" s="8">
        <f>IF($B9="","",ROUND(SUMIFS('KPI Summary'!$E$4:$E$999,'KPI Summary'!$A$4:$A$999,$B9,'KPI Summary'!$C$4:$C$999,"Velocity"),2)&amp;IF(Config!$C$18="Story Points"," pts"," h"))</f>
        <v/>
      </c>
      <c r="H9" s="8">
        <f>IF($B9="","",COUNTIFS('Defect Register'!$B$4:$B$999,$B9))</f>
        <v/>
      </c>
      <c r="I9" s="8">
        <f>IF($B9="","",COUNTIFS('Defect Register'!$B$4:$B$999,$B9,'Defect Register'!$O$4:$O$999,"Yes"))</f>
        <v/>
      </c>
      <c r="J9" s="8">
        <f>IF($B9="","",COUNTIFS('Defect Register'!$B$4:$B$999,$B9,'Defect Register'!$K$4:$K$999,"Yes"))</f>
        <v/>
      </c>
      <c r="K9" s="8">
        <f>IF($B9="","",COUNTIFS('Defect Register'!$B$4:$B$999,$B9,'Defect Register'!$I$4:$I$999,"Post-release",'Defect Register'!$K$4:$K$999,"&lt;&gt;Yes"))</f>
        <v/>
      </c>
      <c r="L9" s="8">
        <f>IF($B9="","",COUNTIFS('Task Register'!$B$4:$B$999,$B9,'Task Register'!$F$4:$F$999,"&lt;&gt;Excluded",'Task Register'!$AP$4:$AP$999,"&gt;0",'Task Register'!$Y$4:$Y$999,"Yes"))</f>
        <v/>
      </c>
      <c r="M9" s="6">
        <f>IF($B9="","",IF(N(IFERROR(INDEX(Periods!$F$5:$F$200,MATCH($B9,Periods!$B$5:$B$200,0)),""))&gt;0,TEXT(IFERROR(INDEX(Periods!$F$5:$F$200,MATCH($B9,Periods!$B$5:$B$200,0)),""),"mm/dd/yyyy"),IF(N(Config!$C$40)&gt;0,TEXT(Config!$C$40,"mm/dd/yyyy"),"-")))</f>
        <v/>
      </c>
      <c r="N9" s="6">
        <f>IF($B9="","",IF(N(IFERROR(INDEX(Periods!$G$5:$G$200,MATCH($B9,Periods!$B$5:$B$200,0)),""))&gt;0,TEXT(IFERROR(INDEX(Periods!$G$5:$G$200,MATCH($B9,Periods!$B$5:$B$200,0)),""),"mm/dd/yyyy"),IF(N(Config!$C$41)&gt;0,TEXT(Config!$C$41,"mm/dd/yyyy"),"-")))</f>
        <v/>
      </c>
      <c r="O9" s="6">
        <f>IF($B9="","",IF(N(IFERROR(INDEX(Periods!$H$5:$H$200,MATCH($B9,Periods!$B$5:$B$200,0)),""))&gt;0,TEXT(IFERROR(INDEX(Periods!$H$5:$H$200,MATCH($B9,Periods!$B$5:$B$200,0)),""),"mm/dd/yyyy"),"Not yet"))</f>
        <v/>
      </c>
      <c r="Q9" s="9">
        <f>IF($B9="","",REPT("█",ROUND(N(C9)/MAX(1,$C$6:$C$17,$D$6:$D$17)*18,0))&amp;REPT("░",ROUND(N(D9)/MAX(1,$C$6:$C$17,$D$6:$D$17)*18,0)))</f>
        <v/>
      </c>
      <c r="R9" s="9">
        <f>IF($B9="","",REPT("█",ROUND(N(I9)/MAX(1,$H$6:$H$17)*18,0))&amp;REPT("░",ROUND((N(H9)-N(I9))/MAX(1,$H$6:$H$17)*18,0)))</f>
        <v/>
      </c>
    </row>
    <row r="10">
      <c r="A10" s="6">
        <f>IF($B10="","",ROW()-5)</f>
        <v/>
      </c>
      <c r="B10" s="7">
        <f>IFERROR(INDEX(Periods!$B$5:$B$200,ROW()-5)&amp;"","")</f>
        <v/>
      </c>
      <c r="C10" s="8">
        <f>IF($B10="","",COUNTIFS('Task Register'!$B$4:$B$999,$B10,'Task Register'!$F$4:$F$999,"&lt;&gt;Excluded",'Task Register'!$M$4:$M$999,"&gt;0"))</f>
        <v/>
      </c>
      <c r="D10" s="8">
        <f>IF($B10="","",COUNTIFS('Task Register'!$B$4:$B$999,$B10,'Task Register'!$F$4:$F$999,"&lt;&gt;Excluded")-COUNTIFS('Task Register'!$B$4:$B$999,$B10,'Task Register'!$F$4:$F$999,"&lt;&gt;Excluded",'Task Register'!$M$4:$M$999,"&gt;0"))</f>
        <v/>
      </c>
      <c r="E10" s="8">
        <f>IF($B10="","",COUNTIFS('Task Register'!$B$4:$B$999,$B10,'Task Register'!$F$4:$F$999,"&lt;&gt;Excluded",'Task Register'!$G$4:$G$999,"Yes"))</f>
        <v/>
      </c>
      <c r="F10" s="8">
        <f>IF($B10="","",COUNTIFS('Task Register'!$B$4:$B$999,$B10,'Task Register'!$F$4:$F$999,"CR"))</f>
        <v/>
      </c>
      <c r="G10" s="8">
        <f>IF($B10="","",ROUND(SUMIFS('KPI Summary'!$E$4:$E$999,'KPI Summary'!$A$4:$A$999,$B10,'KPI Summary'!$C$4:$C$999,"Velocity"),2)&amp;IF(Config!$C$18="Story Points"," pts"," h"))</f>
        <v/>
      </c>
      <c r="H10" s="8">
        <f>IF($B10="","",COUNTIFS('Defect Register'!$B$4:$B$999,$B10))</f>
        <v/>
      </c>
      <c r="I10" s="8">
        <f>IF($B10="","",COUNTIFS('Defect Register'!$B$4:$B$999,$B10,'Defect Register'!$O$4:$O$999,"Yes"))</f>
        <v/>
      </c>
      <c r="J10" s="8">
        <f>IF($B10="","",COUNTIFS('Defect Register'!$B$4:$B$999,$B10,'Defect Register'!$K$4:$K$999,"Yes"))</f>
        <v/>
      </c>
      <c r="K10" s="8">
        <f>IF($B10="","",COUNTIFS('Defect Register'!$B$4:$B$999,$B10,'Defect Register'!$I$4:$I$999,"Post-release",'Defect Register'!$K$4:$K$999,"&lt;&gt;Yes"))</f>
        <v/>
      </c>
      <c r="L10" s="8">
        <f>IF($B10="","",COUNTIFS('Task Register'!$B$4:$B$999,$B10,'Task Register'!$F$4:$F$999,"&lt;&gt;Excluded",'Task Register'!$AP$4:$AP$999,"&gt;0",'Task Register'!$Y$4:$Y$999,"Yes"))</f>
        <v/>
      </c>
      <c r="M10" s="6">
        <f>IF($B10="","",IF(N(IFERROR(INDEX(Periods!$F$5:$F$200,MATCH($B10,Periods!$B$5:$B$200,0)),""))&gt;0,TEXT(IFERROR(INDEX(Periods!$F$5:$F$200,MATCH($B10,Periods!$B$5:$B$200,0)),""),"mm/dd/yyyy"),IF(N(Config!$C$40)&gt;0,TEXT(Config!$C$40,"mm/dd/yyyy"),"-")))</f>
        <v/>
      </c>
      <c r="N10" s="6">
        <f>IF($B10="","",IF(N(IFERROR(INDEX(Periods!$G$5:$G$200,MATCH($B10,Periods!$B$5:$B$200,0)),""))&gt;0,TEXT(IFERROR(INDEX(Periods!$G$5:$G$200,MATCH($B10,Periods!$B$5:$B$200,0)),""),"mm/dd/yyyy"),IF(N(Config!$C$41)&gt;0,TEXT(Config!$C$41,"mm/dd/yyyy"),"-")))</f>
        <v/>
      </c>
      <c r="O10" s="6">
        <f>IF($B10="","",IF(N(IFERROR(INDEX(Periods!$H$5:$H$200,MATCH($B10,Periods!$B$5:$B$200,0)),""))&gt;0,TEXT(IFERROR(INDEX(Periods!$H$5:$H$200,MATCH($B10,Periods!$B$5:$B$200,0)),""),"mm/dd/yyyy"),"Not yet"))</f>
        <v/>
      </c>
      <c r="Q10" s="9">
        <f>IF($B10="","",REPT("█",ROUND(N(C10)/MAX(1,$C$6:$C$17,$D$6:$D$17)*18,0))&amp;REPT("░",ROUND(N(D10)/MAX(1,$C$6:$C$17,$D$6:$D$17)*18,0)))</f>
        <v/>
      </c>
      <c r="R10" s="9">
        <f>IF($B10="","",REPT("█",ROUND(N(I10)/MAX(1,$H$6:$H$17)*18,0))&amp;REPT("░",ROUND((N(H10)-N(I10))/MAX(1,$H$6:$H$17)*18,0)))</f>
        <v/>
      </c>
    </row>
    <row r="11">
      <c r="A11" s="6">
        <f>IF($B11="","",ROW()-5)</f>
        <v/>
      </c>
      <c r="B11" s="7">
        <f>IFERROR(INDEX(Periods!$B$5:$B$200,ROW()-5)&amp;"","")</f>
        <v/>
      </c>
      <c r="C11" s="8">
        <f>IF($B11="","",COUNTIFS('Task Register'!$B$4:$B$999,$B11,'Task Register'!$F$4:$F$999,"&lt;&gt;Excluded",'Task Register'!$M$4:$M$999,"&gt;0"))</f>
        <v/>
      </c>
      <c r="D11" s="8">
        <f>IF($B11="","",COUNTIFS('Task Register'!$B$4:$B$999,$B11,'Task Register'!$F$4:$F$999,"&lt;&gt;Excluded")-COUNTIFS('Task Register'!$B$4:$B$999,$B11,'Task Register'!$F$4:$F$999,"&lt;&gt;Excluded",'Task Register'!$M$4:$M$999,"&gt;0"))</f>
        <v/>
      </c>
      <c r="E11" s="8">
        <f>IF($B11="","",COUNTIFS('Task Register'!$B$4:$B$999,$B11,'Task Register'!$F$4:$F$999,"&lt;&gt;Excluded",'Task Register'!$G$4:$G$999,"Yes"))</f>
        <v/>
      </c>
      <c r="F11" s="8">
        <f>IF($B11="","",COUNTIFS('Task Register'!$B$4:$B$999,$B11,'Task Register'!$F$4:$F$999,"CR"))</f>
        <v/>
      </c>
      <c r="G11" s="8">
        <f>IF($B11="","",ROUND(SUMIFS('KPI Summary'!$E$4:$E$999,'KPI Summary'!$A$4:$A$999,$B11,'KPI Summary'!$C$4:$C$999,"Velocity"),2)&amp;IF(Config!$C$18="Story Points"," pts"," h"))</f>
        <v/>
      </c>
      <c r="H11" s="8">
        <f>IF($B11="","",COUNTIFS('Defect Register'!$B$4:$B$999,$B11))</f>
        <v/>
      </c>
      <c r="I11" s="8">
        <f>IF($B11="","",COUNTIFS('Defect Register'!$B$4:$B$999,$B11,'Defect Register'!$O$4:$O$999,"Yes"))</f>
        <v/>
      </c>
      <c r="J11" s="8">
        <f>IF($B11="","",COUNTIFS('Defect Register'!$B$4:$B$999,$B11,'Defect Register'!$K$4:$K$999,"Yes"))</f>
        <v/>
      </c>
      <c r="K11" s="8">
        <f>IF($B11="","",COUNTIFS('Defect Register'!$B$4:$B$999,$B11,'Defect Register'!$I$4:$I$999,"Post-release",'Defect Register'!$K$4:$K$999,"&lt;&gt;Yes"))</f>
        <v/>
      </c>
      <c r="L11" s="8">
        <f>IF($B11="","",COUNTIFS('Task Register'!$B$4:$B$999,$B11,'Task Register'!$F$4:$F$999,"&lt;&gt;Excluded",'Task Register'!$AP$4:$AP$999,"&gt;0",'Task Register'!$Y$4:$Y$999,"Yes"))</f>
        <v/>
      </c>
      <c r="M11" s="6">
        <f>IF($B11="","",IF(N(IFERROR(INDEX(Periods!$F$5:$F$200,MATCH($B11,Periods!$B$5:$B$200,0)),""))&gt;0,TEXT(IFERROR(INDEX(Periods!$F$5:$F$200,MATCH($B11,Periods!$B$5:$B$200,0)),""),"mm/dd/yyyy"),IF(N(Config!$C$40)&gt;0,TEXT(Config!$C$40,"mm/dd/yyyy"),"-")))</f>
        <v/>
      </c>
      <c r="N11" s="6">
        <f>IF($B11="","",IF(N(IFERROR(INDEX(Periods!$G$5:$G$200,MATCH($B11,Periods!$B$5:$B$200,0)),""))&gt;0,TEXT(IFERROR(INDEX(Periods!$G$5:$G$200,MATCH($B11,Periods!$B$5:$B$200,0)),""),"mm/dd/yyyy"),IF(N(Config!$C$41)&gt;0,TEXT(Config!$C$41,"mm/dd/yyyy"),"-")))</f>
        <v/>
      </c>
      <c r="O11" s="6">
        <f>IF($B11="","",IF(N(IFERROR(INDEX(Periods!$H$5:$H$200,MATCH($B11,Periods!$B$5:$B$200,0)),""))&gt;0,TEXT(IFERROR(INDEX(Periods!$H$5:$H$200,MATCH($B11,Periods!$B$5:$B$200,0)),""),"mm/dd/yyyy"),"Not yet"))</f>
        <v/>
      </c>
      <c r="Q11" s="9">
        <f>IF($B11="","",REPT("█",ROUND(N(C11)/MAX(1,$C$6:$C$17,$D$6:$D$17)*18,0))&amp;REPT("░",ROUND(N(D11)/MAX(1,$C$6:$C$17,$D$6:$D$17)*18,0)))</f>
        <v/>
      </c>
      <c r="R11" s="9">
        <f>IF($B11="","",REPT("█",ROUND(N(I11)/MAX(1,$H$6:$H$17)*18,0))&amp;REPT("░",ROUND((N(H11)-N(I11))/MAX(1,$H$6:$H$17)*18,0)))</f>
        <v/>
      </c>
    </row>
    <row r="12">
      <c r="A12" s="6">
        <f>IF($B12="","",ROW()-5)</f>
        <v/>
      </c>
      <c r="B12" s="7">
        <f>IFERROR(INDEX(Periods!$B$5:$B$200,ROW()-5)&amp;"","")</f>
        <v/>
      </c>
      <c r="C12" s="8">
        <f>IF($B12="","",COUNTIFS('Task Register'!$B$4:$B$999,$B12,'Task Register'!$F$4:$F$999,"&lt;&gt;Excluded",'Task Register'!$M$4:$M$999,"&gt;0"))</f>
        <v/>
      </c>
      <c r="D12" s="8">
        <f>IF($B12="","",COUNTIFS('Task Register'!$B$4:$B$999,$B12,'Task Register'!$F$4:$F$999,"&lt;&gt;Excluded")-COUNTIFS('Task Register'!$B$4:$B$999,$B12,'Task Register'!$F$4:$F$999,"&lt;&gt;Excluded",'Task Register'!$M$4:$M$999,"&gt;0"))</f>
        <v/>
      </c>
      <c r="E12" s="8">
        <f>IF($B12="","",COUNTIFS('Task Register'!$B$4:$B$999,$B12,'Task Register'!$F$4:$F$999,"&lt;&gt;Excluded",'Task Register'!$G$4:$G$999,"Yes"))</f>
        <v/>
      </c>
      <c r="F12" s="8">
        <f>IF($B12="","",COUNTIFS('Task Register'!$B$4:$B$999,$B12,'Task Register'!$F$4:$F$999,"CR"))</f>
        <v/>
      </c>
      <c r="G12" s="8">
        <f>IF($B12="","",ROUND(SUMIFS('KPI Summary'!$E$4:$E$999,'KPI Summary'!$A$4:$A$999,$B12,'KPI Summary'!$C$4:$C$999,"Velocity"),2)&amp;IF(Config!$C$18="Story Points"," pts"," h"))</f>
        <v/>
      </c>
      <c r="H12" s="8">
        <f>IF($B12="","",COUNTIFS('Defect Register'!$B$4:$B$999,$B12))</f>
        <v/>
      </c>
      <c r="I12" s="8">
        <f>IF($B12="","",COUNTIFS('Defect Register'!$B$4:$B$999,$B12,'Defect Register'!$O$4:$O$999,"Yes"))</f>
        <v/>
      </c>
      <c r="J12" s="8">
        <f>IF($B12="","",COUNTIFS('Defect Register'!$B$4:$B$999,$B12,'Defect Register'!$K$4:$K$999,"Yes"))</f>
        <v/>
      </c>
      <c r="K12" s="8">
        <f>IF($B12="","",COUNTIFS('Defect Register'!$B$4:$B$999,$B12,'Defect Register'!$I$4:$I$999,"Post-release",'Defect Register'!$K$4:$K$999,"&lt;&gt;Yes"))</f>
        <v/>
      </c>
      <c r="L12" s="8">
        <f>IF($B12="","",COUNTIFS('Task Register'!$B$4:$B$999,$B12,'Task Register'!$F$4:$F$999,"&lt;&gt;Excluded",'Task Register'!$AP$4:$AP$999,"&gt;0",'Task Register'!$Y$4:$Y$999,"Yes"))</f>
        <v/>
      </c>
      <c r="M12" s="6">
        <f>IF($B12="","",IF(N(IFERROR(INDEX(Periods!$F$5:$F$200,MATCH($B12,Periods!$B$5:$B$200,0)),""))&gt;0,TEXT(IFERROR(INDEX(Periods!$F$5:$F$200,MATCH($B12,Periods!$B$5:$B$200,0)),""),"mm/dd/yyyy"),IF(N(Config!$C$40)&gt;0,TEXT(Config!$C$40,"mm/dd/yyyy"),"-")))</f>
        <v/>
      </c>
      <c r="N12" s="6">
        <f>IF($B12="","",IF(N(IFERROR(INDEX(Periods!$G$5:$G$200,MATCH($B12,Periods!$B$5:$B$200,0)),""))&gt;0,TEXT(IFERROR(INDEX(Periods!$G$5:$G$200,MATCH($B12,Periods!$B$5:$B$200,0)),""),"mm/dd/yyyy"),IF(N(Config!$C$41)&gt;0,TEXT(Config!$C$41,"mm/dd/yyyy"),"-")))</f>
        <v/>
      </c>
      <c r="O12" s="6">
        <f>IF($B12="","",IF(N(IFERROR(INDEX(Periods!$H$5:$H$200,MATCH($B12,Periods!$B$5:$B$200,0)),""))&gt;0,TEXT(IFERROR(INDEX(Periods!$H$5:$H$200,MATCH($B12,Periods!$B$5:$B$200,0)),""),"mm/dd/yyyy"),"Not yet"))</f>
        <v/>
      </c>
      <c r="Q12" s="9">
        <f>IF($B12="","",REPT("█",ROUND(N(C12)/MAX(1,$C$6:$C$17,$D$6:$D$17)*18,0))&amp;REPT("░",ROUND(N(D12)/MAX(1,$C$6:$C$17,$D$6:$D$17)*18,0)))</f>
        <v/>
      </c>
      <c r="R12" s="9">
        <f>IF($B12="","",REPT("█",ROUND(N(I12)/MAX(1,$H$6:$H$17)*18,0))&amp;REPT("░",ROUND((N(H12)-N(I12))/MAX(1,$H$6:$H$17)*18,0)))</f>
        <v/>
      </c>
    </row>
    <row r="13">
      <c r="A13" s="6">
        <f>IF($B13="","",ROW()-5)</f>
        <v/>
      </c>
      <c r="B13" s="7">
        <f>IFERROR(INDEX(Periods!$B$5:$B$200,ROW()-5)&amp;"","")</f>
        <v/>
      </c>
      <c r="C13" s="8">
        <f>IF($B13="","",COUNTIFS('Task Register'!$B$4:$B$999,$B13,'Task Register'!$F$4:$F$999,"&lt;&gt;Excluded",'Task Register'!$M$4:$M$999,"&gt;0"))</f>
        <v/>
      </c>
      <c r="D13" s="8">
        <f>IF($B13="","",COUNTIFS('Task Register'!$B$4:$B$999,$B13,'Task Register'!$F$4:$F$999,"&lt;&gt;Excluded")-COUNTIFS('Task Register'!$B$4:$B$999,$B13,'Task Register'!$F$4:$F$999,"&lt;&gt;Excluded",'Task Register'!$M$4:$M$999,"&gt;0"))</f>
        <v/>
      </c>
      <c r="E13" s="8">
        <f>IF($B13="","",COUNTIFS('Task Register'!$B$4:$B$999,$B13,'Task Register'!$F$4:$F$999,"&lt;&gt;Excluded",'Task Register'!$G$4:$G$999,"Yes"))</f>
        <v/>
      </c>
      <c r="F13" s="8">
        <f>IF($B13="","",COUNTIFS('Task Register'!$B$4:$B$999,$B13,'Task Register'!$F$4:$F$999,"CR"))</f>
        <v/>
      </c>
      <c r="G13" s="8">
        <f>IF($B13="","",ROUND(SUMIFS('KPI Summary'!$E$4:$E$999,'KPI Summary'!$A$4:$A$999,$B13,'KPI Summary'!$C$4:$C$999,"Velocity"),2)&amp;IF(Config!$C$18="Story Points"," pts"," h"))</f>
        <v/>
      </c>
      <c r="H13" s="8">
        <f>IF($B13="","",COUNTIFS('Defect Register'!$B$4:$B$999,$B13))</f>
        <v/>
      </c>
      <c r="I13" s="8">
        <f>IF($B13="","",COUNTIFS('Defect Register'!$B$4:$B$999,$B13,'Defect Register'!$O$4:$O$999,"Yes"))</f>
        <v/>
      </c>
      <c r="J13" s="8">
        <f>IF($B13="","",COUNTIFS('Defect Register'!$B$4:$B$999,$B13,'Defect Register'!$K$4:$K$999,"Yes"))</f>
        <v/>
      </c>
      <c r="K13" s="8">
        <f>IF($B13="","",COUNTIFS('Defect Register'!$B$4:$B$999,$B13,'Defect Register'!$I$4:$I$999,"Post-release",'Defect Register'!$K$4:$K$999,"&lt;&gt;Yes"))</f>
        <v/>
      </c>
      <c r="L13" s="8">
        <f>IF($B13="","",COUNTIFS('Task Register'!$B$4:$B$999,$B13,'Task Register'!$F$4:$F$999,"&lt;&gt;Excluded",'Task Register'!$AP$4:$AP$999,"&gt;0",'Task Register'!$Y$4:$Y$999,"Yes"))</f>
        <v/>
      </c>
      <c r="M13" s="6">
        <f>IF($B13="","",IF(N(IFERROR(INDEX(Periods!$F$5:$F$200,MATCH($B13,Periods!$B$5:$B$200,0)),""))&gt;0,TEXT(IFERROR(INDEX(Periods!$F$5:$F$200,MATCH($B13,Periods!$B$5:$B$200,0)),""),"mm/dd/yyyy"),IF(N(Config!$C$40)&gt;0,TEXT(Config!$C$40,"mm/dd/yyyy"),"-")))</f>
        <v/>
      </c>
      <c r="N13" s="6">
        <f>IF($B13="","",IF(N(IFERROR(INDEX(Periods!$G$5:$G$200,MATCH($B13,Periods!$B$5:$B$200,0)),""))&gt;0,TEXT(IFERROR(INDEX(Periods!$G$5:$G$200,MATCH($B13,Periods!$B$5:$B$200,0)),""),"mm/dd/yyyy"),IF(N(Config!$C$41)&gt;0,TEXT(Config!$C$41,"mm/dd/yyyy"),"-")))</f>
        <v/>
      </c>
      <c r="O13" s="6">
        <f>IF($B13="","",IF(N(IFERROR(INDEX(Periods!$H$5:$H$200,MATCH($B13,Periods!$B$5:$B$200,0)),""))&gt;0,TEXT(IFERROR(INDEX(Periods!$H$5:$H$200,MATCH($B13,Periods!$B$5:$B$200,0)),""),"mm/dd/yyyy"),"Not yet"))</f>
        <v/>
      </c>
      <c r="Q13" s="9">
        <f>IF($B13="","",REPT("█",ROUND(N(C13)/MAX(1,$C$6:$C$17,$D$6:$D$17)*18,0))&amp;REPT("░",ROUND(N(D13)/MAX(1,$C$6:$C$17,$D$6:$D$17)*18,0)))</f>
        <v/>
      </c>
      <c r="R13" s="9">
        <f>IF($B13="","",REPT("█",ROUND(N(I13)/MAX(1,$H$6:$H$17)*18,0))&amp;REPT("░",ROUND((N(H13)-N(I13))/MAX(1,$H$6:$H$17)*18,0)))</f>
        <v/>
      </c>
    </row>
    <row r="14">
      <c r="A14" s="6">
        <f>IF($B14="","",ROW()-5)</f>
        <v/>
      </c>
      <c r="B14" s="7">
        <f>IFERROR(INDEX(Periods!$B$5:$B$200,ROW()-5)&amp;"","")</f>
        <v/>
      </c>
      <c r="C14" s="8">
        <f>IF($B14="","",COUNTIFS('Task Register'!$B$4:$B$999,$B14,'Task Register'!$F$4:$F$999,"&lt;&gt;Excluded",'Task Register'!$M$4:$M$999,"&gt;0"))</f>
        <v/>
      </c>
      <c r="D14" s="8">
        <f>IF($B14="","",COUNTIFS('Task Register'!$B$4:$B$999,$B14,'Task Register'!$F$4:$F$999,"&lt;&gt;Excluded")-COUNTIFS('Task Register'!$B$4:$B$999,$B14,'Task Register'!$F$4:$F$999,"&lt;&gt;Excluded",'Task Register'!$M$4:$M$999,"&gt;0"))</f>
        <v/>
      </c>
      <c r="E14" s="8">
        <f>IF($B14="","",COUNTIFS('Task Register'!$B$4:$B$999,$B14,'Task Register'!$F$4:$F$999,"&lt;&gt;Excluded",'Task Register'!$G$4:$G$999,"Yes"))</f>
        <v/>
      </c>
      <c r="F14" s="8">
        <f>IF($B14="","",COUNTIFS('Task Register'!$B$4:$B$999,$B14,'Task Register'!$F$4:$F$999,"CR"))</f>
        <v/>
      </c>
      <c r="G14" s="8">
        <f>IF($B14="","",ROUND(SUMIFS('KPI Summary'!$E$4:$E$999,'KPI Summary'!$A$4:$A$999,$B14,'KPI Summary'!$C$4:$C$999,"Velocity"),2)&amp;IF(Config!$C$18="Story Points"," pts"," h"))</f>
        <v/>
      </c>
      <c r="H14" s="8">
        <f>IF($B14="","",COUNTIFS('Defect Register'!$B$4:$B$999,$B14))</f>
        <v/>
      </c>
      <c r="I14" s="8">
        <f>IF($B14="","",COUNTIFS('Defect Register'!$B$4:$B$999,$B14,'Defect Register'!$O$4:$O$999,"Yes"))</f>
        <v/>
      </c>
      <c r="J14" s="8">
        <f>IF($B14="","",COUNTIFS('Defect Register'!$B$4:$B$999,$B14,'Defect Register'!$K$4:$K$999,"Yes"))</f>
        <v/>
      </c>
      <c r="K14" s="8">
        <f>IF($B14="","",COUNTIFS('Defect Register'!$B$4:$B$999,$B14,'Defect Register'!$I$4:$I$999,"Post-release",'Defect Register'!$K$4:$K$999,"&lt;&gt;Yes"))</f>
        <v/>
      </c>
      <c r="L14" s="8">
        <f>IF($B14="","",COUNTIFS('Task Register'!$B$4:$B$999,$B14,'Task Register'!$F$4:$F$999,"&lt;&gt;Excluded",'Task Register'!$AP$4:$AP$999,"&gt;0",'Task Register'!$Y$4:$Y$999,"Yes"))</f>
        <v/>
      </c>
      <c r="M14" s="6">
        <f>IF($B14="","",IF(N(IFERROR(INDEX(Periods!$F$5:$F$200,MATCH($B14,Periods!$B$5:$B$200,0)),""))&gt;0,TEXT(IFERROR(INDEX(Periods!$F$5:$F$200,MATCH($B14,Periods!$B$5:$B$200,0)),""),"mm/dd/yyyy"),IF(N(Config!$C$40)&gt;0,TEXT(Config!$C$40,"mm/dd/yyyy"),"-")))</f>
        <v/>
      </c>
      <c r="N14" s="6">
        <f>IF($B14="","",IF(N(IFERROR(INDEX(Periods!$G$5:$G$200,MATCH($B14,Periods!$B$5:$B$200,0)),""))&gt;0,TEXT(IFERROR(INDEX(Periods!$G$5:$G$200,MATCH($B14,Periods!$B$5:$B$200,0)),""),"mm/dd/yyyy"),IF(N(Config!$C$41)&gt;0,TEXT(Config!$C$41,"mm/dd/yyyy"),"-")))</f>
        <v/>
      </c>
      <c r="O14" s="6">
        <f>IF($B14="","",IF(N(IFERROR(INDEX(Periods!$H$5:$H$200,MATCH($B14,Periods!$B$5:$B$200,0)),""))&gt;0,TEXT(IFERROR(INDEX(Periods!$H$5:$H$200,MATCH($B14,Periods!$B$5:$B$200,0)),""),"mm/dd/yyyy"),"Not yet"))</f>
        <v/>
      </c>
      <c r="Q14" s="9">
        <f>IF($B14="","",REPT("█",ROUND(N(C14)/MAX(1,$C$6:$C$17,$D$6:$D$17)*18,0))&amp;REPT("░",ROUND(N(D14)/MAX(1,$C$6:$C$17,$D$6:$D$17)*18,0)))</f>
        <v/>
      </c>
      <c r="R14" s="9">
        <f>IF($B14="","",REPT("█",ROUND(N(I14)/MAX(1,$H$6:$H$17)*18,0))&amp;REPT("░",ROUND((N(H14)-N(I14))/MAX(1,$H$6:$H$17)*18,0)))</f>
        <v/>
      </c>
    </row>
    <row r="15">
      <c r="A15" s="6">
        <f>IF($B15="","",ROW()-5)</f>
        <v/>
      </c>
      <c r="B15" s="7">
        <f>IFERROR(INDEX(Periods!$B$5:$B$200,ROW()-5)&amp;"","")</f>
        <v/>
      </c>
      <c r="C15" s="8">
        <f>IF($B15="","",COUNTIFS('Task Register'!$B$4:$B$999,$B15,'Task Register'!$F$4:$F$999,"&lt;&gt;Excluded",'Task Register'!$M$4:$M$999,"&gt;0"))</f>
        <v/>
      </c>
      <c r="D15" s="8">
        <f>IF($B15="","",COUNTIFS('Task Register'!$B$4:$B$999,$B15,'Task Register'!$F$4:$F$999,"&lt;&gt;Excluded")-COUNTIFS('Task Register'!$B$4:$B$999,$B15,'Task Register'!$F$4:$F$999,"&lt;&gt;Excluded",'Task Register'!$M$4:$M$999,"&gt;0"))</f>
        <v/>
      </c>
      <c r="E15" s="8">
        <f>IF($B15="","",COUNTIFS('Task Register'!$B$4:$B$999,$B15,'Task Register'!$F$4:$F$999,"&lt;&gt;Excluded",'Task Register'!$G$4:$G$999,"Yes"))</f>
        <v/>
      </c>
      <c r="F15" s="8">
        <f>IF($B15="","",COUNTIFS('Task Register'!$B$4:$B$999,$B15,'Task Register'!$F$4:$F$999,"CR"))</f>
        <v/>
      </c>
      <c r="G15" s="8">
        <f>IF($B15="","",ROUND(SUMIFS('KPI Summary'!$E$4:$E$999,'KPI Summary'!$A$4:$A$999,$B15,'KPI Summary'!$C$4:$C$999,"Velocity"),2)&amp;IF(Config!$C$18="Story Points"," pts"," h"))</f>
        <v/>
      </c>
      <c r="H15" s="8">
        <f>IF($B15="","",COUNTIFS('Defect Register'!$B$4:$B$999,$B15))</f>
        <v/>
      </c>
      <c r="I15" s="8">
        <f>IF($B15="","",COUNTIFS('Defect Register'!$B$4:$B$999,$B15,'Defect Register'!$O$4:$O$999,"Yes"))</f>
        <v/>
      </c>
      <c r="J15" s="8">
        <f>IF($B15="","",COUNTIFS('Defect Register'!$B$4:$B$999,$B15,'Defect Register'!$K$4:$K$999,"Yes"))</f>
        <v/>
      </c>
      <c r="K15" s="8">
        <f>IF($B15="","",COUNTIFS('Defect Register'!$B$4:$B$999,$B15,'Defect Register'!$I$4:$I$999,"Post-release",'Defect Register'!$K$4:$K$999,"&lt;&gt;Yes"))</f>
        <v/>
      </c>
      <c r="L15" s="8">
        <f>IF($B15="","",COUNTIFS('Task Register'!$B$4:$B$999,$B15,'Task Register'!$F$4:$F$999,"&lt;&gt;Excluded",'Task Register'!$AP$4:$AP$999,"&gt;0",'Task Register'!$Y$4:$Y$999,"Yes"))</f>
        <v/>
      </c>
      <c r="M15" s="6">
        <f>IF($B15="","",IF(N(IFERROR(INDEX(Periods!$F$5:$F$200,MATCH($B15,Periods!$B$5:$B$200,0)),""))&gt;0,TEXT(IFERROR(INDEX(Periods!$F$5:$F$200,MATCH($B15,Periods!$B$5:$B$200,0)),""),"mm/dd/yyyy"),IF(N(Config!$C$40)&gt;0,TEXT(Config!$C$40,"mm/dd/yyyy"),"-")))</f>
        <v/>
      </c>
      <c r="N15" s="6">
        <f>IF($B15="","",IF(N(IFERROR(INDEX(Periods!$G$5:$G$200,MATCH($B15,Periods!$B$5:$B$200,0)),""))&gt;0,TEXT(IFERROR(INDEX(Periods!$G$5:$G$200,MATCH($B15,Periods!$B$5:$B$200,0)),""),"mm/dd/yyyy"),IF(N(Config!$C$41)&gt;0,TEXT(Config!$C$41,"mm/dd/yyyy"),"-")))</f>
        <v/>
      </c>
      <c r="O15" s="6">
        <f>IF($B15="","",IF(N(IFERROR(INDEX(Periods!$H$5:$H$200,MATCH($B15,Periods!$B$5:$B$200,0)),""))&gt;0,TEXT(IFERROR(INDEX(Periods!$H$5:$H$200,MATCH($B15,Periods!$B$5:$B$200,0)),""),"mm/dd/yyyy"),"Not yet"))</f>
        <v/>
      </c>
      <c r="Q15" s="9">
        <f>IF($B15="","",REPT("█",ROUND(N(C15)/MAX(1,$C$6:$C$17,$D$6:$D$17)*18,0))&amp;REPT("░",ROUND(N(D15)/MAX(1,$C$6:$C$17,$D$6:$D$17)*18,0)))</f>
        <v/>
      </c>
      <c r="R15" s="9">
        <f>IF($B15="","",REPT("█",ROUND(N(I15)/MAX(1,$H$6:$H$17)*18,0))&amp;REPT("░",ROUND((N(H15)-N(I15))/MAX(1,$H$6:$H$17)*18,0)))</f>
        <v/>
      </c>
    </row>
    <row r="16">
      <c r="A16" s="6">
        <f>IF($B16="","",ROW()-5)</f>
        <v/>
      </c>
      <c r="B16" s="7">
        <f>IFERROR(INDEX(Periods!$B$5:$B$200,ROW()-5)&amp;"","")</f>
        <v/>
      </c>
      <c r="C16" s="8">
        <f>IF($B16="","",COUNTIFS('Task Register'!$B$4:$B$999,$B16,'Task Register'!$F$4:$F$999,"&lt;&gt;Excluded",'Task Register'!$M$4:$M$999,"&gt;0"))</f>
        <v/>
      </c>
      <c r="D16" s="8">
        <f>IF($B16="","",COUNTIFS('Task Register'!$B$4:$B$999,$B16,'Task Register'!$F$4:$F$999,"&lt;&gt;Excluded")-COUNTIFS('Task Register'!$B$4:$B$999,$B16,'Task Register'!$F$4:$F$999,"&lt;&gt;Excluded",'Task Register'!$M$4:$M$999,"&gt;0"))</f>
        <v/>
      </c>
      <c r="E16" s="8">
        <f>IF($B16="","",COUNTIFS('Task Register'!$B$4:$B$999,$B16,'Task Register'!$F$4:$F$999,"&lt;&gt;Excluded",'Task Register'!$G$4:$G$999,"Yes"))</f>
        <v/>
      </c>
      <c r="F16" s="8">
        <f>IF($B16="","",COUNTIFS('Task Register'!$B$4:$B$999,$B16,'Task Register'!$F$4:$F$999,"CR"))</f>
        <v/>
      </c>
      <c r="G16" s="8">
        <f>IF($B16="","",ROUND(SUMIFS('KPI Summary'!$E$4:$E$999,'KPI Summary'!$A$4:$A$999,$B16,'KPI Summary'!$C$4:$C$999,"Velocity"),2)&amp;IF(Config!$C$18="Story Points"," pts"," h"))</f>
        <v/>
      </c>
      <c r="H16" s="8">
        <f>IF($B16="","",COUNTIFS('Defect Register'!$B$4:$B$999,$B16))</f>
        <v/>
      </c>
      <c r="I16" s="8">
        <f>IF($B16="","",COUNTIFS('Defect Register'!$B$4:$B$999,$B16,'Defect Register'!$O$4:$O$999,"Yes"))</f>
        <v/>
      </c>
      <c r="J16" s="8">
        <f>IF($B16="","",COUNTIFS('Defect Register'!$B$4:$B$999,$B16,'Defect Register'!$K$4:$K$999,"Yes"))</f>
        <v/>
      </c>
      <c r="K16" s="8">
        <f>IF($B16="","",COUNTIFS('Defect Register'!$B$4:$B$999,$B16,'Defect Register'!$I$4:$I$999,"Post-release",'Defect Register'!$K$4:$K$999,"&lt;&gt;Yes"))</f>
        <v/>
      </c>
      <c r="L16" s="8">
        <f>IF($B16="","",COUNTIFS('Task Register'!$B$4:$B$999,$B16,'Task Register'!$F$4:$F$999,"&lt;&gt;Excluded",'Task Register'!$AP$4:$AP$999,"&gt;0",'Task Register'!$Y$4:$Y$999,"Yes"))</f>
        <v/>
      </c>
      <c r="M16" s="6">
        <f>IF($B16="","",IF(N(IFERROR(INDEX(Periods!$F$5:$F$200,MATCH($B16,Periods!$B$5:$B$200,0)),""))&gt;0,TEXT(IFERROR(INDEX(Periods!$F$5:$F$200,MATCH($B16,Periods!$B$5:$B$200,0)),""),"mm/dd/yyyy"),IF(N(Config!$C$40)&gt;0,TEXT(Config!$C$40,"mm/dd/yyyy"),"-")))</f>
        <v/>
      </c>
      <c r="N16" s="6">
        <f>IF($B16="","",IF(N(IFERROR(INDEX(Periods!$G$5:$G$200,MATCH($B16,Periods!$B$5:$B$200,0)),""))&gt;0,TEXT(IFERROR(INDEX(Periods!$G$5:$G$200,MATCH($B16,Periods!$B$5:$B$200,0)),""),"mm/dd/yyyy"),IF(N(Config!$C$41)&gt;0,TEXT(Config!$C$41,"mm/dd/yyyy"),"-")))</f>
        <v/>
      </c>
      <c r="O16" s="6">
        <f>IF($B16="","",IF(N(IFERROR(INDEX(Periods!$H$5:$H$200,MATCH($B16,Periods!$B$5:$B$200,0)),""))&gt;0,TEXT(IFERROR(INDEX(Periods!$H$5:$H$200,MATCH($B16,Periods!$B$5:$B$200,0)),""),"mm/dd/yyyy"),"Not yet"))</f>
        <v/>
      </c>
      <c r="Q16" s="9">
        <f>IF($B16="","",REPT("█",ROUND(N(C16)/MAX(1,$C$6:$C$17,$D$6:$D$17)*18,0))&amp;REPT("░",ROUND(N(D16)/MAX(1,$C$6:$C$17,$D$6:$D$17)*18,0)))</f>
        <v/>
      </c>
      <c r="R16" s="9">
        <f>IF($B16="","",REPT("█",ROUND(N(I16)/MAX(1,$H$6:$H$17)*18,0))&amp;REPT("░",ROUND((N(H16)-N(I16))/MAX(1,$H$6:$H$17)*18,0)))</f>
        <v/>
      </c>
    </row>
    <row r="17">
      <c r="A17" s="6">
        <f>IF($B17="","",ROW()-5)</f>
        <v/>
      </c>
      <c r="B17" s="7">
        <f>IFERROR(INDEX(Periods!$B$5:$B$200,ROW()-5)&amp;"","")</f>
        <v/>
      </c>
      <c r="C17" s="8">
        <f>IF($B17="","",COUNTIFS('Task Register'!$B$4:$B$999,$B17,'Task Register'!$F$4:$F$999,"&lt;&gt;Excluded",'Task Register'!$M$4:$M$999,"&gt;0"))</f>
        <v/>
      </c>
      <c r="D17" s="8">
        <f>IF($B17="","",COUNTIFS('Task Register'!$B$4:$B$999,$B17,'Task Register'!$F$4:$F$999,"&lt;&gt;Excluded")-COUNTIFS('Task Register'!$B$4:$B$999,$B17,'Task Register'!$F$4:$F$999,"&lt;&gt;Excluded",'Task Register'!$M$4:$M$999,"&gt;0"))</f>
        <v/>
      </c>
      <c r="E17" s="8">
        <f>IF($B17="","",COUNTIFS('Task Register'!$B$4:$B$999,$B17,'Task Register'!$F$4:$F$999,"&lt;&gt;Excluded",'Task Register'!$G$4:$G$999,"Yes"))</f>
        <v/>
      </c>
      <c r="F17" s="8">
        <f>IF($B17="","",COUNTIFS('Task Register'!$B$4:$B$999,$B17,'Task Register'!$F$4:$F$999,"CR"))</f>
        <v/>
      </c>
      <c r="G17" s="8">
        <f>IF($B17="","",ROUND(SUMIFS('KPI Summary'!$E$4:$E$999,'KPI Summary'!$A$4:$A$999,$B17,'KPI Summary'!$C$4:$C$999,"Velocity"),2)&amp;IF(Config!$C$18="Story Points"," pts"," h"))</f>
        <v/>
      </c>
      <c r="H17" s="8">
        <f>IF($B17="","",COUNTIFS('Defect Register'!$B$4:$B$999,$B17))</f>
        <v/>
      </c>
      <c r="I17" s="8">
        <f>IF($B17="","",COUNTIFS('Defect Register'!$B$4:$B$999,$B17,'Defect Register'!$O$4:$O$999,"Yes"))</f>
        <v/>
      </c>
      <c r="J17" s="8">
        <f>IF($B17="","",COUNTIFS('Defect Register'!$B$4:$B$999,$B17,'Defect Register'!$K$4:$K$999,"Yes"))</f>
        <v/>
      </c>
      <c r="K17" s="8">
        <f>IF($B17="","",COUNTIFS('Defect Register'!$B$4:$B$999,$B17,'Defect Register'!$I$4:$I$999,"Post-release",'Defect Register'!$K$4:$K$999,"&lt;&gt;Yes"))</f>
        <v/>
      </c>
      <c r="L17" s="8">
        <f>IF($B17="","",COUNTIFS('Task Register'!$B$4:$B$999,$B17,'Task Register'!$F$4:$F$999,"&lt;&gt;Excluded",'Task Register'!$AP$4:$AP$999,"&gt;0",'Task Register'!$Y$4:$Y$999,"Yes"))</f>
        <v/>
      </c>
      <c r="M17" s="6">
        <f>IF($B17="","",IF(N(IFERROR(INDEX(Periods!$F$5:$F$200,MATCH($B17,Periods!$B$5:$B$200,0)),""))&gt;0,TEXT(IFERROR(INDEX(Periods!$F$5:$F$200,MATCH($B17,Periods!$B$5:$B$200,0)),""),"mm/dd/yyyy"),IF(N(Config!$C$40)&gt;0,TEXT(Config!$C$40,"mm/dd/yyyy"),"-")))</f>
        <v/>
      </c>
      <c r="N17" s="6">
        <f>IF($B17="","",IF(N(IFERROR(INDEX(Periods!$G$5:$G$200,MATCH($B17,Periods!$B$5:$B$200,0)),""))&gt;0,TEXT(IFERROR(INDEX(Periods!$G$5:$G$200,MATCH($B17,Periods!$B$5:$B$200,0)),""),"mm/dd/yyyy"),IF(N(Config!$C$41)&gt;0,TEXT(Config!$C$41,"mm/dd/yyyy"),"-")))</f>
        <v/>
      </c>
      <c r="O17" s="6">
        <f>IF($B17="","",IF(N(IFERROR(INDEX(Periods!$H$5:$H$200,MATCH($B17,Periods!$B$5:$B$200,0)),""))&gt;0,TEXT(IFERROR(INDEX(Periods!$H$5:$H$200,MATCH($B17,Periods!$B$5:$B$200,0)),""),"mm/dd/yyyy"),"Not yet"))</f>
        <v/>
      </c>
      <c r="Q17" s="9">
        <f>IF($B17="","",REPT("█",ROUND(N(C17)/MAX(1,$C$6:$C$17,$D$6:$D$17)*18,0))&amp;REPT("░",ROUND(N(D17)/MAX(1,$C$6:$C$17,$D$6:$D$17)*18,0)))</f>
        <v/>
      </c>
      <c r="R17" s="9">
        <f>IF($B17="","",REPT("█",ROUND(N(I17)/MAX(1,$H$6:$H$17)*18,0))&amp;REPT("░",ROUND((N(H17)-N(I17))/MAX(1,$H$6:$H$17)*18,0)))</f>
        <v/>
      </c>
    </row>
    <row r="18">
      <c r="B18" s="10" t="inlineStr">
        <is>
          <t>Total</t>
        </is>
      </c>
      <c r="C18" s="10">
        <f>SUM(C6:C17)</f>
        <v/>
      </c>
      <c r="D18" s="10">
        <f>SUM(D6:D17)</f>
        <v/>
      </c>
      <c r="E18" s="10">
        <f>SUM(E6:E17)</f>
        <v/>
      </c>
      <c r="F18" s="10">
        <f>SUM(F6:F17)</f>
        <v/>
      </c>
      <c r="H18" s="10">
        <f>SUM(H6:H17)</f>
        <v/>
      </c>
      <c r="I18" s="10">
        <f>SUM(I6:I17)</f>
        <v/>
      </c>
      <c r="J18" s="10">
        <f>SUM(J6:J17)</f>
        <v/>
      </c>
      <c r="K18" s="10">
        <f>SUM(K6:K17)</f>
        <v/>
      </c>
      <c r="L18" s="10">
        <f>SUM(L6:L17)</f>
        <v/>
      </c>
    </row>
    <row r="20">
      <c r="A20" s="3" t="inlineStr">
        <is>
          <t>KPI results by period (the bar is green when the KPI is met, red when not)</t>
        </is>
      </c>
      <c r="B20" s="3" t="n"/>
      <c r="C20" s="3" t="n"/>
      <c r="D20" s="3" t="n"/>
      <c r="E20" s="3" t="n"/>
      <c r="F20" s="3" t="n"/>
      <c r="G20" s="3" t="n"/>
      <c r="H20" s="3" t="n"/>
      <c r="I20" s="3" t="n"/>
      <c r="J20" s="3" t="n"/>
      <c r="K20" s="3" t="n"/>
      <c r="L20" s="3" t="n"/>
      <c r="M20" s="3" t="n"/>
      <c r="N20" s="3" t="n"/>
      <c r="O20" s="3" t="n"/>
      <c r="P20" s="3" t="n"/>
      <c r="Q20" s="3" t="n"/>
      <c r="R20" s="3" t="n"/>
    </row>
    <row r="21" ht="31.5" customHeight="1">
      <c r="B21" s="5" t="inlineStr">
        <is>
          <t>KPI</t>
        </is>
      </c>
      <c r="C21" s="5" t="inlineStr">
        <is>
          <t>Target</t>
        </is>
      </c>
      <c r="D21" s="5">
        <f>IF($B$6="","",$B$6)</f>
        <v/>
      </c>
      <c r="E21" s="5" t="n"/>
      <c r="F21" s="5">
        <f>IF($B$7="","",$B$7)</f>
        <v/>
      </c>
      <c r="G21" s="5" t="n"/>
      <c r="H21" s="5">
        <f>IF($B$8="","",$B$8)</f>
        <v/>
      </c>
      <c r="I21" s="5" t="n"/>
      <c r="J21" s="5">
        <f>IF($B$9="","",$B$9)</f>
        <v/>
      </c>
      <c r="K21" s="5" t="n"/>
      <c r="L21" s="5">
        <f>IF($B$10="","",$B$10)</f>
        <v/>
      </c>
      <c r="M21" s="5" t="n"/>
      <c r="N21" s="5">
        <f>IF($B$11="","",$B$11)</f>
        <v/>
      </c>
      <c r="O21" s="5" t="n"/>
    </row>
    <row r="22">
      <c r="B22" s="7" t="inlineStr">
        <is>
          <t>Velocity</t>
        </is>
      </c>
      <c r="C22" s="11">
        <f>IFERROR(IF(INDEX(Config!$E$29:$E$37,MATCH($B22,Config!$B$29:$B$37,0))="Min","at least ","at most ")&amp;INDEX(Config!$F$29:$F$37,MATCH($B22,Config!$B$29:$B$37,0))&amp;IF($B22="Velocity",""," %"),"")</f>
        <v/>
      </c>
      <c r="D22" s="8">
        <f>IF(D$21="","",IF(COUNTIFS('KPI Summary'!$A$4:$A$999,D$21,'KPI Summary'!$C$4:$C$999,$B22,'KPI Summary'!$G$4:$G$999,"&gt;=0")=0,"not measured",SUMIFS('KPI Summary'!$G$4:$G$999,'KPI Summary'!$A$4:$A$999,D$21,'KPI Summary'!$C$4:$C$999,$B22)))</f>
        <v/>
      </c>
      <c r="E22" s="9">
        <f>IF(ISNUMBER(D22),REPT("█",ROUND(MIN(D22,IF($B22="Velocity",MAX(1,N(D22),N(F22),N(H22),N(J22),N(L22),N(N22)),100))/IF($B22="Velocity",MAX(1,N(D22),N(F22),N(H22),N(J22),N(L22),N(N22)),100)*14,0)),"")</f>
        <v/>
      </c>
      <c r="F22" s="8">
        <f>IF(F$21="","",IF(COUNTIFS('KPI Summary'!$A$4:$A$999,F$21,'KPI Summary'!$C$4:$C$999,$B22,'KPI Summary'!$G$4:$G$999,"&gt;=0")=0,"not measured",SUMIFS('KPI Summary'!$G$4:$G$999,'KPI Summary'!$A$4:$A$999,F$21,'KPI Summary'!$C$4:$C$999,$B22)))</f>
        <v/>
      </c>
      <c r="G22" s="9">
        <f>IF(ISNUMBER(F22),REPT("█",ROUND(MIN(F22,IF($B22="Velocity",MAX(1,N(D22),N(F22),N(H22),N(J22),N(L22),N(N22)),100))/IF($B22="Velocity",MAX(1,N(D22),N(F22),N(H22),N(J22),N(L22),N(N22)),100)*14,0)),"")</f>
        <v/>
      </c>
      <c r="H22" s="8">
        <f>IF(H$21="","",IF(COUNTIFS('KPI Summary'!$A$4:$A$999,H$21,'KPI Summary'!$C$4:$C$999,$B22,'KPI Summary'!$G$4:$G$999,"&gt;=0")=0,"not measured",SUMIFS('KPI Summary'!$G$4:$G$999,'KPI Summary'!$A$4:$A$999,H$21,'KPI Summary'!$C$4:$C$999,$B22)))</f>
        <v/>
      </c>
      <c r="I22" s="9">
        <f>IF(ISNUMBER(H22),REPT("█",ROUND(MIN(H22,IF($B22="Velocity",MAX(1,N(D22),N(F22),N(H22),N(J22),N(L22),N(N22)),100))/IF($B22="Velocity",MAX(1,N(D22),N(F22),N(H22),N(J22),N(L22),N(N22)),100)*14,0)),"")</f>
        <v/>
      </c>
      <c r="J22" s="8">
        <f>IF(J$21="","",IF(COUNTIFS('KPI Summary'!$A$4:$A$999,J$21,'KPI Summary'!$C$4:$C$999,$B22,'KPI Summary'!$G$4:$G$999,"&gt;=0")=0,"not measured",SUMIFS('KPI Summary'!$G$4:$G$999,'KPI Summary'!$A$4:$A$999,J$21,'KPI Summary'!$C$4:$C$999,$B22)))</f>
        <v/>
      </c>
      <c r="K22" s="9">
        <f>IF(ISNUMBER(J22),REPT("█",ROUND(MIN(J22,IF($B22="Velocity",MAX(1,N(D22),N(F22),N(H22),N(J22),N(L22),N(N22)),100))/IF($B22="Velocity",MAX(1,N(D22),N(F22),N(H22),N(J22),N(L22),N(N22)),100)*14,0)),"")</f>
        <v/>
      </c>
      <c r="L22" s="8">
        <f>IF(L$21="","",IF(COUNTIFS('KPI Summary'!$A$4:$A$999,L$21,'KPI Summary'!$C$4:$C$999,$B22,'KPI Summary'!$G$4:$G$999,"&gt;=0")=0,"not measured",SUMIFS('KPI Summary'!$G$4:$G$999,'KPI Summary'!$A$4:$A$999,L$21,'KPI Summary'!$C$4:$C$999,$B22)))</f>
        <v/>
      </c>
      <c r="M22" s="9">
        <f>IF(ISNUMBER(L22),REPT("█",ROUND(MIN(L22,IF($B22="Velocity",MAX(1,N(D22),N(F22),N(H22),N(J22),N(L22),N(N22)),100))/IF($B22="Velocity",MAX(1,N(D22),N(F22),N(H22),N(J22),N(L22),N(N22)),100)*14,0)),"")</f>
        <v/>
      </c>
      <c r="N22" s="8">
        <f>IF(N$21="","",IF(COUNTIFS('KPI Summary'!$A$4:$A$999,N$21,'KPI Summary'!$C$4:$C$999,$B22,'KPI Summary'!$G$4:$G$999,"&gt;=0")=0,"not measured",SUMIFS('KPI Summary'!$G$4:$G$999,'KPI Summary'!$A$4:$A$999,N$21,'KPI Summary'!$C$4:$C$999,$B22)))</f>
        <v/>
      </c>
      <c r="O22" s="9">
        <f>IF(ISNUMBER(N22),REPT("█",ROUND(MIN(N22,IF($B22="Velocity",MAX(1,N(D22),N(F22),N(H22),N(J22),N(L22),N(N22)),100))/IF($B22="Velocity",MAX(1,N(D22),N(F22),N(H22),N(J22),N(L22),N(N22)),100)*14,0)),"")</f>
        <v/>
      </c>
      <c r="T22" s="11">
        <f>IF(ISNUMBER(D22),IF(COUNTIFS('KPI Summary'!$A$4:$A$999,D$21,'KPI Summary'!$C$4:$C$999,$B22,'KPI Summary'!$J$4:$J$999,"Met")&gt;0,1,0),"")</f>
        <v/>
      </c>
      <c r="U22" s="11">
        <f>IF(ISNUMBER(F22),IF(COUNTIFS('KPI Summary'!$A$4:$A$999,F$21,'KPI Summary'!$C$4:$C$999,$B22,'KPI Summary'!$J$4:$J$999,"Met")&gt;0,1,0),"")</f>
        <v/>
      </c>
      <c r="V22" s="11">
        <f>IF(ISNUMBER(H22),IF(COUNTIFS('KPI Summary'!$A$4:$A$999,H$21,'KPI Summary'!$C$4:$C$999,$B22,'KPI Summary'!$J$4:$J$999,"Met")&gt;0,1,0),"")</f>
        <v/>
      </c>
      <c r="W22" s="11">
        <f>IF(ISNUMBER(J22),IF(COUNTIFS('KPI Summary'!$A$4:$A$999,J$21,'KPI Summary'!$C$4:$C$999,$B22,'KPI Summary'!$J$4:$J$999,"Met")&gt;0,1,0),"")</f>
        <v/>
      </c>
      <c r="X22" s="11">
        <f>IF(ISNUMBER(L22),IF(COUNTIFS('KPI Summary'!$A$4:$A$999,L$21,'KPI Summary'!$C$4:$C$999,$B22,'KPI Summary'!$J$4:$J$999,"Met")&gt;0,1,0),"")</f>
        <v/>
      </c>
      <c r="Y22" s="11">
        <f>IF(ISNUMBER(N22),IF(COUNTIFS('KPI Summary'!$A$4:$A$999,N$21,'KPI Summary'!$C$4:$C$999,$B22,'KPI Summary'!$J$4:$J$999,"Met")&gt;0,1,0),"")</f>
        <v/>
      </c>
    </row>
    <row r="23">
      <c r="B23" s="7" t="inlineStr">
        <is>
          <t>Task Comprehension</t>
        </is>
      </c>
      <c r="C23" s="11">
        <f>IFERROR(IF(INDEX(Config!$E$29:$E$37,MATCH($B23,Config!$B$29:$B$37,0))="Min","at least ","at most ")&amp;INDEX(Config!$F$29:$F$37,MATCH($B23,Config!$B$29:$B$37,0))&amp;IF($B23="Velocity",""," %"),"")</f>
        <v/>
      </c>
      <c r="D23" s="8">
        <f>IF(D$21="","",IF(COUNTIFS('KPI Summary'!$A$4:$A$999,D$21,'KPI Summary'!$C$4:$C$999,$B23,'KPI Summary'!$G$4:$G$999,"&gt;=0")=0,"not measured",SUMIFS('KPI Summary'!$G$4:$G$999,'KPI Summary'!$A$4:$A$999,D$21,'KPI Summary'!$C$4:$C$999,$B23)))</f>
        <v/>
      </c>
      <c r="E23" s="9">
        <f>IF(ISNUMBER(D23),REPT("█",ROUND(MIN(D23,IF($B23="Velocity",MAX(1,N(D23),N(F23),N(H23),N(J23),N(L23),N(N23)),100))/IF($B23="Velocity",MAX(1,N(D23),N(F23),N(H23),N(J23),N(L23),N(N23)),100)*14,0)),"")</f>
        <v/>
      </c>
      <c r="F23" s="8">
        <f>IF(F$21="","",IF(COUNTIFS('KPI Summary'!$A$4:$A$999,F$21,'KPI Summary'!$C$4:$C$999,$B23,'KPI Summary'!$G$4:$G$999,"&gt;=0")=0,"not measured",SUMIFS('KPI Summary'!$G$4:$G$999,'KPI Summary'!$A$4:$A$999,F$21,'KPI Summary'!$C$4:$C$999,$B23)))</f>
        <v/>
      </c>
      <c r="G23" s="9">
        <f>IF(ISNUMBER(F23),REPT("█",ROUND(MIN(F23,IF($B23="Velocity",MAX(1,N(D23),N(F23),N(H23),N(J23),N(L23),N(N23)),100))/IF($B23="Velocity",MAX(1,N(D23),N(F23),N(H23),N(J23),N(L23),N(N23)),100)*14,0)),"")</f>
        <v/>
      </c>
      <c r="H23" s="8">
        <f>IF(H$21="","",IF(COUNTIFS('KPI Summary'!$A$4:$A$999,H$21,'KPI Summary'!$C$4:$C$999,$B23,'KPI Summary'!$G$4:$G$999,"&gt;=0")=0,"not measured",SUMIFS('KPI Summary'!$G$4:$G$999,'KPI Summary'!$A$4:$A$999,H$21,'KPI Summary'!$C$4:$C$999,$B23)))</f>
        <v/>
      </c>
      <c r="I23" s="9">
        <f>IF(ISNUMBER(H23),REPT("█",ROUND(MIN(H23,IF($B23="Velocity",MAX(1,N(D23),N(F23),N(H23),N(J23),N(L23),N(N23)),100))/IF($B23="Velocity",MAX(1,N(D23),N(F23),N(H23),N(J23),N(L23),N(N23)),100)*14,0)),"")</f>
        <v/>
      </c>
      <c r="J23" s="8">
        <f>IF(J$21="","",IF(COUNTIFS('KPI Summary'!$A$4:$A$999,J$21,'KPI Summary'!$C$4:$C$999,$B23,'KPI Summary'!$G$4:$G$999,"&gt;=0")=0,"not measured",SUMIFS('KPI Summary'!$G$4:$G$999,'KPI Summary'!$A$4:$A$999,J$21,'KPI Summary'!$C$4:$C$999,$B23)))</f>
        <v/>
      </c>
      <c r="K23" s="9">
        <f>IF(ISNUMBER(J23),REPT("█",ROUND(MIN(J23,IF($B23="Velocity",MAX(1,N(D23),N(F23),N(H23),N(J23),N(L23),N(N23)),100))/IF($B23="Velocity",MAX(1,N(D23),N(F23),N(H23),N(J23),N(L23),N(N23)),100)*14,0)),"")</f>
        <v/>
      </c>
      <c r="L23" s="8">
        <f>IF(L$21="","",IF(COUNTIFS('KPI Summary'!$A$4:$A$999,L$21,'KPI Summary'!$C$4:$C$999,$B23,'KPI Summary'!$G$4:$G$999,"&gt;=0")=0,"not measured",SUMIFS('KPI Summary'!$G$4:$G$999,'KPI Summary'!$A$4:$A$999,L$21,'KPI Summary'!$C$4:$C$999,$B23)))</f>
        <v/>
      </c>
      <c r="M23" s="9">
        <f>IF(ISNUMBER(L23),REPT("█",ROUND(MIN(L23,IF($B23="Velocity",MAX(1,N(D23),N(F23),N(H23),N(J23),N(L23),N(N23)),100))/IF($B23="Velocity",MAX(1,N(D23),N(F23),N(H23),N(J23),N(L23),N(N23)),100)*14,0)),"")</f>
        <v/>
      </c>
      <c r="N23" s="8">
        <f>IF(N$21="","",IF(COUNTIFS('KPI Summary'!$A$4:$A$999,N$21,'KPI Summary'!$C$4:$C$999,$B23,'KPI Summary'!$G$4:$G$999,"&gt;=0")=0,"not measured",SUMIFS('KPI Summary'!$G$4:$G$999,'KPI Summary'!$A$4:$A$999,N$21,'KPI Summary'!$C$4:$C$999,$B23)))</f>
        <v/>
      </c>
      <c r="O23" s="9">
        <f>IF(ISNUMBER(N23),REPT("█",ROUND(MIN(N23,IF($B23="Velocity",MAX(1,N(D23),N(F23),N(H23),N(J23),N(L23),N(N23)),100))/IF($B23="Velocity",MAX(1,N(D23),N(F23),N(H23),N(J23),N(L23),N(N23)),100)*14,0)),"")</f>
        <v/>
      </c>
      <c r="T23" s="11">
        <f>IF(ISNUMBER(D23),IF(COUNTIFS('KPI Summary'!$A$4:$A$999,D$21,'KPI Summary'!$C$4:$C$999,$B23,'KPI Summary'!$J$4:$J$999,"Met")&gt;0,1,0),"")</f>
        <v/>
      </c>
      <c r="U23" s="11">
        <f>IF(ISNUMBER(F23),IF(COUNTIFS('KPI Summary'!$A$4:$A$999,F$21,'KPI Summary'!$C$4:$C$999,$B23,'KPI Summary'!$J$4:$J$999,"Met")&gt;0,1,0),"")</f>
        <v/>
      </c>
      <c r="V23" s="11">
        <f>IF(ISNUMBER(H23),IF(COUNTIFS('KPI Summary'!$A$4:$A$999,H$21,'KPI Summary'!$C$4:$C$999,$B23,'KPI Summary'!$J$4:$J$999,"Met")&gt;0,1,0),"")</f>
        <v/>
      </c>
      <c r="W23" s="11">
        <f>IF(ISNUMBER(J23),IF(COUNTIFS('KPI Summary'!$A$4:$A$999,J$21,'KPI Summary'!$C$4:$C$999,$B23,'KPI Summary'!$J$4:$J$999,"Met")&gt;0,1,0),"")</f>
        <v/>
      </c>
      <c r="X23" s="11">
        <f>IF(ISNUMBER(L23),IF(COUNTIFS('KPI Summary'!$A$4:$A$999,L$21,'KPI Summary'!$C$4:$C$999,$B23,'KPI Summary'!$J$4:$J$999,"Met")&gt;0,1,0),"")</f>
        <v/>
      </c>
      <c r="Y23" s="11">
        <f>IF(ISNUMBER(N23),IF(COUNTIFS('KPI Summary'!$A$4:$A$999,N$21,'KPI Summary'!$C$4:$C$999,$B23,'KPI Summary'!$J$4:$J$999,"Met")&gt;0,1,0),"")</f>
        <v/>
      </c>
    </row>
    <row r="24">
      <c r="B24" s="7" t="inlineStr">
        <is>
          <t>Client Expectation</t>
        </is>
      </c>
      <c r="C24" s="11">
        <f>IFERROR(IF(INDEX(Config!$E$29:$E$37,MATCH($B24,Config!$B$29:$B$37,0))="Min","at least ","at most ")&amp;INDEX(Config!$F$29:$F$37,MATCH($B24,Config!$B$29:$B$37,0))&amp;IF($B24="Velocity",""," %"),"")</f>
        <v/>
      </c>
      <c r="D24" s="8">
        <f>IF(D$21="","",IF(COUNTIFS('KPI Summary'!$A$4:$A$999,D$21,'KPI Summary'!$C$4:$C$999,$B24,'KPI Summary'!$G$4:$G$999,"&gt;=0")=0,"not measured",SUMIFS('KPI Summary'!$G$4:$G$999,'KPI Summary'!$A$4:$A$999,D$21,'KPI Summary'!$C$4:$C$999,$B24)))</f>
        <v/>
      </c>
      <c r="E24" s="9">
        <f>IF(ISNUMBER(D24),REPT("█",ROUND(MIN(D24,IF($B24="Velocity",MAX(1,N(D24),N(F24),N(H24),N(J24),N(L24),N(N24)),100))/IF($B24="Velocity",MAX(1,N(D24),N(F24),N(H24),N(J24),N(L24),N(N24)),100)*14,0)),"")</f>
        <v/>
      </c>
      <c r="F24" s="8">
        <f>IF(F$21="","",IF(COUNTIFS('KPI Summary'!$A$4:$A$999,F$21,'KPI Summary'!$C$4:$C$999,$B24,'KPI Summary'!$G$4:$G$999,"&gt;=0")=0,"not measured",SUMIFS('KPI Summary'!$G$4:$G$999,'KPI Summary'!$A$4:$A$999,F$21,'KPI Summary'!$C$4:$C$999,$B24)))</f>
        <v/>
      </c>
      <c r="G24" s="9">
        <f>IF(ISNUMBER(F24),REPT("█",ROUND(MIN(F24,IF($B24="Velocity",MAX(1,N(D24),N(F24),N(H24),N(J24),N(L24),N(N24)),100))/IF($B24="Velocity",MAX(1,N(D24),N(F24),N(H24),N(J24),N(L24),N(N24)),100)*14,0)),"")</f>
        <v/>
      </c>
      <c r="H24" s="8">
        <f>IF(H$21="","",IF(COUNTIFS('KPI Summary'!$A$4:$A$999,H$21,'KPI Summary'!$C$4:$C$999,$B24,'KPI Summary'!$G$4:$G$999,"&gt;=0")=0,"not measured",SUMIFS('KPI Summary'!$G$4:$G$999,'KPI Summary'!$A$4:$A$999,H$21,'KPI Summary'!$C$4:$C$999,$B24)))</f>
        <v/>
      </c>
      <c r="I24" s="9">
        <f>IF(ISNUMBER(H24),REPT("█",ROUND(MIN(H24,IF($B24="Velocity",MAX(1,N(D24),N(F24),N(H24),N(J24),N(L24),N(N24)),100))/IF($B24="Velocity",MAX(1,N(D24),N(F24),N(H24),N(J24),N(L24),N(N24)),100)*14,0)),"")</f>
        <v/>
      </c>
      <c r="J24" s="8">
        <f>IF(J$21="","",IF(COUNTIFS('KPI Summary'!$A$4:$A$999,J$21,'KPI Summary'!$C$4:$C$999,$B24,'KPI Summary'!$G$4:$G$999,"&gt;=0")=0,"not measured",SUMIFS('KPI Summary'!$G$4:$G$999,'KPI Summary'!$A$4:$A$999,J$21,'KPI Summary'!$C$4:$C$999,$B24)))</f>
        <v/>
      </c>
      <c r="K24" s="9">
        <f>IF(ISNUMBER(J24),REPT("█",ROUND(MIN(J24,IF($B24="Velocity",MAX(1,N(D24),N(F24),N(H24),N(J24),N(L24),N(N24)),100))/IF($B24="Velocity",MAX(1,N(D24),N(F24),N(H24),N(J24),N(L24),N(N24)),100)*14,0)),"")</f>
        <v/>
      </c>
      <c r="L24" s="8">
        <f>IF(L$21="","",IF(COUNTIFS('KPI Summary'!$A$4:$A$999,L$21,'KPI Summary'!$C$4:$C$999,$B24,'KPI Summary'!$G$4:$G$999,"&gt;=0")=0,"not measured",SUMIFS('KPI Summary'!$G$4:$G$999,'KPI Summary'!$A$4:$A$999,L$21,'KPI Summary'!$C$4:$C$999,$B24)))</f>
        <v/>
      </c>
      <c r="M24" s="9">
        <f>IF(ISNUMBER(L24),REPT("█",ROUND(MIN(L24,IF($B24="Velocity",MAX(1,N(D24),N(F24),N(H24),N(J24),N(L24),N(N24)),100))/IF($B24="Velocity",MAX(1,N(D24),N(F24),N(H24),N(J24),N(L24),N(N24)),100)*14,0)),"")</f>
        <v/>
      </c>
      <c r="N24" s="8">
        <f>IF(N$21="","",IF(COUNTIFS('KPI Summary'!$A$4:$A$999,N$21,'KPI Summary'!$C$4:$C$999,$B24,'KPI Summary'!$G$4:$G$999,"&gt;=0")=0,"not measured",SUMIFS('KPI Summary'!$G$4:$G$999,'KPI Summary'!$A$4:$A$999,N$21,'KPI Summary'!$C$4:$C$999,$B24)))</f>
        <v/>
      </c>
      <c r="O24" s="9">
        <f>IF(ISNUMBER(N24),REPT("█",ROUND(MIN(N24,IF($B24="Velocity",MAX(1,N(D24),N(F24),N(H24),N(J24),N(L24),N(N24)),100))/IF($B24="Velocity",MAX(1,N(D24),N(F24),N(H24),N(J24),N(L24),N(N24)),100)*14,0)),"")</f>
        <v/>
      </c>
      <c r="T24" s="11">
        <f>IF(ISNUMBER(D24),IF(COUNTIFS('KPI Summary'!$A$4:$A$999,D$21,'KPI Summary'!$C$4:$C$999,$B24,'KPI Summary'!$J$4:$J$999,"Met")&gt;0,1,0),"")</f>
        <v/>
      </c>
      <c r="U24" s="11">
        <f>IF(ISNUMBER(F24),IF(COUNTIFS('KPI Summary'!$A$4:$A$999,F$21,'KPI Summary'!$C$4:$C$999,$B24,'KPI Summary'!$J$4:$J$999,"Met")&gt;0,1,0),"")</f>
        <v/>
      </c>
      <c r="V24" s="11">
        <f>IF(ISNUMBER(H24),IF(COUNTIFS('KPI Summary'!$A$4:$A$999,H$21,'KPI Summary'!$C$4:$C$999,$B24,'KPI Summary'!$J$4:$J$999,"Met")&gt;0,1,0),"")</f>
        <v/>
      </c>
      <c r="W24" s="11">
        <f>IF(ISNUMBER(J24),IF(COUNTIFS('KPI Summary'!$A$4:$A$999,J$21,'KPI Summary'!$C$4:$C$999,$B24,'KPI Summary'!$J$4:$J$999,"Met")&gt;0,1,0),"")</f>
        <v/>
      </c>
      <c r="X24" s="11">
        <f>IF(ISNUMBER(L24),IF(COUNTIFS('KPI Summary'!$A$4:$A$999,L$21,'KPI Summary'!$C$4:$C$999,$B24,'KPI Summary'!$J$4:$J$999,"Met")&gt;0,1,0),"")</f>
        <v/>
      </c>
      <c r="Y24" s="11">
        <f>IF(ISNUMBER(N24),IF(COUNTIFS('KPI Summary'!$A$4:$A$999,N$21,'KPI Summary'!$C$4:$C$999,$B24,'KPI Summary'!$J$4:$J$999,"Met")&gt;0,1,0),"")</f>
        <v/>
      </c>
    </row>
    <row r="25">
      <c r="B25" s="7" t="inlineStr">
        <is>
          <t>Delivery Commitment</t>
        </is>
      </c>
      <c r="C25" s="11">
        <f>IFERROR(IF(INDEX(Config!$E$29:$E$37,MATCH($B25,Config!$B$29:$B$37,0))="Min","at least ","at most ")&amp;INDEX(Config!$F$29:$F$37,MATCH($B25,Config!$B$29:$B$37,0))&amp;IF($B25="Velocity",""," %"),"")</f>
        <v/>
      </c>
      <c r="D25" s="8">
        <f>IF(D$21="","",IF(COUNTIFS('KPI Summary'!$A$4:$A$999,D$21,'KPI Summary'!$C$4:$C$999,$B25,'KPI Summary'!$G$4:$G$999,"&gt;=0")=0,"not measured",SUMIFS('KPI Summary'!$G$4:$G$999,'KPI Summary'!$A$4:$A$999,D$21,'KPI Summary'!$C$4:$C$999,$B25)))</f>
        <v/>
      </c>
      <c r="E25" s="9">
        <f>IF(ISNUMBER(D25),REPT("█",ROUND(MIN(D25,IF($B25="Velocity",MAX(1,N(D25),N(F25),N(H25),N(J25),N(L25),N(N25)),100))/IF($B25="Velocity",MAX(1,N(D25),N(F25),N(H25),N(J25),N(L25),N(N25)),100)*14,0)),"")</f>
        <v/>
      </c>
      <c r="F25" s="8">
        <f>IF(F$21="","",IF(COUNTIFS('KPI Summary'!$A$4:$A$999,F$21,'KPI Summary'!$C$4:$C$999,$B25,'KPI Summary'!$G$4:$G$999,"&gt;=0")=0,"not measured",SUMIFS('KPI Summary'!$G$4:$G$999,'KPI Summary'!$A$4:$A$999,F$21,'KPI Summary'!$C$4:$C$999,$B25)))</f>
        <v/>
      </c>
      <c r="G25" s="9">
        <f>IF(ISNUMBER(F25),REPT("█",ROUND(MIN(F25,IF($B25="Velocity",MAX(1,N(D25),N(F25),N(H25),N(J25),N(L25),N(N25)),100))/IF($B25="Velocity",MAX(1,N(D25),N(F25),N(H25),N(J25),N(L25),N(N25)),100)*14,0)),"")</f>
        <v/>
      </c>
      <c r="H25" s="8">
        <f>IF(H$21="","",IF(COUNTIFS('KPI Summary'!$A$4:$A$999,H$21,'KPI Summary'!$C$4:$C$999,$B25,'KPI Summary'!$G$4:$G$999,"&gt;=0")=0,"not measured",SUMIFS('KPI Summary'!$G$4:$G$999,'KPI Summary'!$A$4:$A$999,H$21,'KPI Summary'!$C$4:$C$999,$B25)))</f>
        <v/>
      </c>
      <c r="I25" s="9">
        <f>IF(ISNUMBER(H25),REPT("█",ROUND(MIN(H25,IF($B25="Velocity",MAX(1,N(D25),N(F25),N(H25),N(J25),N(L25),N(N25)),100))/IF($B25="Velocity",MAX(1,N(D25),N(F25),N(H25),N(J25),N(L25),N(N25)),100)*14,0)),"")</f>
        <v/>
      </c>
      <c r="J25" s="8">
        <f>IF(J$21="","",IF(COUNTIFS('KPI Summary'!$A$4:$A$999,J$21,'KPI Summary'!$C$4:$C$999,$B25,'KPI Summary'!$G$4:$G$999,"&gt;=0")=0,"not measured",SUMIFS('KPI Summary'!$G$4:$G$999,'KPI Summary'!$A$4:$A$999,J$21,'KPI Summary'!$C$4:$C$999,$B25)))</f>
        <v/>
      </c>
      <c r="K25" s="9">
        <f>IF(ISNUMBER(J25),REPT("█",ROUND(MIN(J25,IF($B25="Velocity",MAX(1,N(D25),N(F25),N(H25),N(J25),N(L25),N(N25)),100))/IF($B25="Velocity",MAX(1,N(D25),N(F25),N(H25),N(J25),N(L25),N(N25)),100)*14,0)),"")</f>
        <v/>
      </c>
      <c r="L25" s="8">
        <f>IF(L$21="","",IF(COUNTIFS('KPI Summary'!$A$4:$A$999,L$21,'KPI Summary'!$C$4:$C$999,$B25,'KPI Summary'!$G$4:$G$999,"&gt;=0")=0,"not measured",SUMIFS('KPI Summary'!$G$4:$G$999,'KPI Summary'!$A$4:$A$999,L$21,'KPI Summary'!$C$4:$C$999,$B25)))</f>
        <v/>
      </c>
      <c r="M25" s="9">
        <f>IF(ISNUMBER(L25),REPT("█",ROUND(MIN(L25,IF($B25="Velocity",MAX(1,N(D25),N(F25),N(H25),N(J25),N(L25),N(N25)),100))/IF($B25="Velocity",MAX(1,N(D25),N(F25),N(H25),N(J25),N(L25),N(N25)),100)*14,0)),"")</f>
        <v/>
      </c>
      <c r="N25" s="8">
        <f>IF(N$21="","",IF(COUNTIFS('KPI Summary'!$A$4:$A$999,N$21,'KPI Summary'!$C$4:$C$999,$B25,'KPI Summary'!$G$4:$G$999,"&gt;=0")=0,"not measured",SUMIFS('KPI Summary'!$G$4:$G$999,'KPI Summary'!$A$4:$A$999,N$21,'KPI Summary'!$C$4:$C$999,$B25)))</f>
        <v/>
      </c>
      <c r="O25" s="9">
        <f>IF(ISNUMBER(N25),REPT("█",ROUND(MIN(N25,IF($B25="Velocity",MAX(1,N(D25),N(F25),N(H25),N(J25),N(L25),N(N25)),100))/IF($B25="Velocity",MAX(1,N(D25),N(F25),N(H25),N(J25),N(L25),N(N25)),100)*14,0)),"")</f>
        <v/>
      </c>
      <c r="T25" s="11">
        <f>IF(ISNUMBER(D25),IF(COUNTIFS('KPI Summary'!$A$4:$A$999,D$21,'KPI Summary'!$C$4:$C$999,$B25,'KPI Summary'!$J$4:$J$999,"Met")&gt;0,1,0),"")</f>
        <v/>
      </c>
      <c r="U25" s="11">
        <f>IF(ISNUMBER(F25),IF(COUNTIFS('KPI Summary'!$A$4:$A$999,F$21,'KPI Summary'!$C$4:$C$999,$B25,'KPI Summary'!$J$4:$J$999,"Met")&gt;0,1,0),"")</f>
        <v/>
      </c>
      <c r="V25" s="11">
        <f>IF(ISNUMBER(H25),IF(COUNTIFS('KPI Summary'!$A$4:$A$999,H$21,'KPI Summary'!$C$4:$C$999,$B25,'KPI Summary'!$J$4:$J$999,"Met")&gt;0,1,0),"")</f>
        <v/>
      </c>
      <c r="W25" s="11">
        <f>IF(ISNUMBER(J25),IF(COUNTIFS('KPI Summary'!$A$4:$A$999,J$21,'KPI Summary'!$C$4:$C$999,$B25,'KPI Summary'!$J$4:$J$999,"Met")&gt;0,1,0),"")</f>
        <v/>
      </c>
      <c r="X25" s="11">
        <f>IF(ISNUMBER(L25),IF(COUNTIFS('KPI Summary'!$A$4:$A$999,L$21,'KPI Summary'!$C$4:$C$999,$B25,'KPI Summary'!$J$4:$J$999,"Met")&gt;0,1,0),"")</f>
        <v/>
      </c>
      <c r="Y25" s="11">
        <f>IF(ISNUMBER(N25),IF(COUNTIFS('KPI Summary'!$A$4:$A$999,N$21,'KPI Summary'!$C$4:$C$999,$B25,'KPI Summary'!$J$4:$J$999,"Met")&gt;0,1,0),"")</f>
        <v/>
      </c>
    </row>
    <row r="26">
      <c r="B26" s="7" t="inlineStr">
        <is>
          <t>Defect Rate</t>
        </is>
      </c>
      <c r="C26" s="11">
        <f>IFERROR(IF(INDEX(Config!$E$29:$E$37,MATCH($B26,Config!$B$29:$B$37,0))="Min","at least ","at most ")&amp;INDEX(Config!$F$29:$F$37,MATCH($B26,Config!$B$29:$B$37,0))&amp;IF($B26="Velocity",""," %"),"")</f>
        <v/>
      </c>
      <c r="D26" s="8">
        <f>IF(D$21="","",IF(COUNTIFS('KPI Summary'!$A$4:$A$999,D$21,'KPI Summary'!$C$4:$C$999,$B26,'KPI Summary'!$G$4:$G$999,"&gt;=0")=0,"not measured",SUMIFS('KPI Summary'!$G$4:$G$999,'KPI Summary'!$A$4:$A$999,D$21,'KPI Summary'!$C$4:$C$999,$B26)))</f>
        <v/>
      </c>
      <c r="E26" s="9">
        <f>IF(ISNUMBER(D26),REPT("█",ROUND(MIN(D26,IF($B26="Velocity",MAX(1,N(D26),N(F26),N(H26),N(J26),N(L26),N(N26)),100))/IF($B26="Velocity",MAX(1,N(D26),N(F26),N(H26),N(J26),N(L26),N(N26)),100)*14,0)),"")</f>
        <v/>
      </c>
      <c r="F26" s="8">
        <f>IF(F$21="","",IF(COUNTIFS('KPI Summary'!$A$4:$A$999,F$21,'KPI Summary'!$C$4:$C$999,$B26,'KPI Summary'!$G$4:$G$999,"&gt;=0")=0,"not measured",SUMIFS('KPI Summary'!$G$4:$G$999,'KPI Summary'!$A$4:$A$999,F$21,'KPI Summary'!$C$4:$C$999,$B26)))</f>
        <v/>
      </c>
      <c r="G26" s="9">
        <f>IF(ISNUMBER(F26),REPT("█",ROUND(MIN(F26,IF($B26="Velocity",MAX(1,N(D26),N(F26),N(H26),N(J26),N(L26),N(N26)),100))/IF($B26="Velocity",MAX(1,N(D26),N(F26),N(H26),N(J26),N(L26),N(N26)),100)*14,0)),"")</f>
        <v/>
      </c>
      <c r="H26" s="8">
        <f>IF(H$21="","",IF(COUNTIFS('KPI Summary'!$A$4:$A$999,H$21,'KPI Summary'!$C$4:$C$999,$B26,'KPI Summary'!$G$4:$G$999,"&gt;=0")=0,"not measured",SUMIFS('KPI Summary'!$G$4:$G$999,'KPI Summary'!$A$4:$A$999,H$21,'KPI Summary'!$C$4:$C$999,$B26)))</f>
        <v/>
      </c>
      <c r="I26" s="9">
        <f>IF(ISNUMBER(H26),REPT("█",ROUND(MIN(H26,IF($B26="Velocity",MAX(1,N(D26),N(F26),N(H26),N(J26),N(L26),N(N26)),100))/IF($B26="Velocity",MAX(1,N(D26),N(F26),N(H26),N(J26),N(L26),N(N26)),100)*14,0)),"")</f>
        <v/>
      </c>
      <c r="J26" s="8">
        <f>IF(J$21="","",IF(COUNTIFS('KPI Summary'!$A$4:$A$999,J$21,'KPI Summary'!$C$4:$C$999,$B26,'KPI Summary'!$G$4:$G$999,"&gt;=0")=0,"not measured",SUMIFS('KPI Summary'!$G$4:$G$999,'KPI Summary'!$A$4:$A$999,J$21,'KPI Summary'!$C$4:$C$999,$B26)))</f>
        <v/>
      </c>
      <c r="K26" s="9">
        <f>IF(ISNUMBER(J26),REPT("█",ROUND(MIN(J26,IF($B26="Velocity",MAX(1,N(D26),N(F26),N(H26),N(J26),N(L26),N(N26)),100))/IF($B26="Velocity",MAX(1,N(D26),N(F26),N(H26),N(J26),N(L26),N(N26)),100)*14,0)),"")</f>
        <v/>
      </c>
      <c r="L26" s="8">
        <f>IF(L$21="","",IF(COUNTIFS('KPI Summary'!$A$4:$A$999,L$21,'KPI Summary'!$C$4:$C$999,$B26,'KPI Summary'!$G$4:$G$999,"&gt;=0")=0,"not measured",SUMIFS('KPI Summary'!$G$4:$G$999,'KPI Summary'!$A$4:$A$999,L$21,'KPI Summary'!$C$4:$C$999,$B26)))</f>
        <v/>
      </c>
      <c r="M26" s="9">
        <f>IF(ISNUMBER(L26),REPT("█",ROUND(MIN(L26,IF($B26="Velocity",MAX(1,N(D26),N(F26),N(H26),N(J26),N(L26),N(N26)),100))/IF($B26="Velocity",MAX(1,N(D26),N(F26),N(H26),N(J26),N(L26),N(N26)),100)*14,0)),"")</f>
        <v/>
      </c>
      <c r="N26" s="8">
        <f>IF(N$21="","",IF(COUNTIFS('KPI Summary'!$A$4:$A$999,N$21,'KPI Summary'!$C$4:$C$999,$B26,'KPI Summary'!$G$4:$G$999,"&gt;=0")=0,"not measured",SUMIFS('KPI Summary'!$G$4:$G$999,'KPI Summary'!$A$4:$A$999,N$21,'KPI Summary'!$C$4:$C$999,$B26)))</f>
        <v/>
      </c>
      <c r="O26" s="9">
        <f>IF(ISNUMBER(N26),REPT("█",ROUND(MIN(N26,IF($B26="Velocity",MAX(1,N(D26),N(F26),N(H26),N(J26),N(L26),N(N26)),100))/IF($B26="Velocity",MAX(1,N(D26),N(F26),N(H26),N(J26),N(L26),N(N26)),100)*14,0)),"")</f>
        <v/>
      </c>
      <c r="T26" s="11">
        <f>IF(ISNUMBER(D26),IF(COUNTIFS('KPI Summary'!$A$4:$A$999,D$21,'KPI Summary'!$C$4:$C$999,$B26,'KPI Summary'!$J$4:$J$999,"Met")&gt;0,1,0),"")</f>
        <v/>
      </c>
      <c r="U26" s="11">
        <f>IF(ISNUMBER(F26),IF(COUNTIFS('KPI Summary'!$A$4:$A$999,F$21,'KPI Summary'!$C$4:$C$999,$B26,'KPI Summary'!$J$4:$J$999,"Met")&gt;0,1,0),"")</f>
        <v/>
      </c>
      <c r="V26" s="11">
        <f>IF(ISNUMBER(H26),IF(COUNTIFS('KPI Summary'!$A$4:$A$999,H$21,'KPI Summary'!$C$4:$C$999,$B26,'KPI Summary'!$J$4:$J$999,"Met")&gt;0,1,0),"")</f>
        <v/>
      </c>
      <c r="W26" s="11">
        <f>IF(ISNUMBER(J26),IF(COUNTIFS('KPI Summary'!$A$4:$A$999,J$21,'KPI Summary'!$C$4:$C$999,$B26,'KPI Summary'!$J$4:$J$999,"Met")&gt;0,1,0),"")</f>
        <v/>
      </c>
      <c r="X26" s="11">
        <f>IF(ISNUMBER(L26),IF(COUNTIFS('KPI Summary'!$A$4:$A$999,L$21,'KPI Summary'!$C$4:$C$999,$B26,'KPI Summary'!$J$4:$J$999,"Met")&gt;0,1,0),"")</f>
        <v/>
      </c>
      <c r="Y26" s="11">
        <f>IF(ISNUMBER(N26),IF(COUNTIFS('KPI Summary'!$A$4:$A$999,N$21,'KPI Summary'!$C$4:$C$999,$B26,'KPI Summary'!$J$4:$J$999,"Met")&gt;0,1,0),"")</f>
        <v/>
      </c>
    </row>
    <row r="27">
      <c r="B27" s="7" t="inlineStr">
        <is>
          <t>Escaped Defect Rate</t>
        </is>
      </c>
      <c r="C27" s="11">
        <f>IFERROR(IF(INDEX(Config!$E$29:$E$37,MATCH($B27,Config!$B$29:$B$37,0))="Min","at least ","at most ")&amp;INDEX(Config!$F$29:$F$37,MATCH($B27,Config!$B$29:$B$37,0))&amp;IF($B27="Velocity",""," %"),"")</f>
        <v/>
      </c>
      <c r="D27" s="8">
        <f>IF(D$21="","",IF(COUNTIFS('KPI Summary'!$A$4:$A$999,D$21,'KPI Summary'!$C$4:$C$999,$B27,'KPI Summary'!$G$4:$G$999,"&gt;=0")=0,"not measured",SUMIFS('KPI Summary'!$G$4:$G$999,'KPI Summary'!$A$4:$A$999,D$21,'KPI Summary'!$C$4:$C$999,$B27)))</f>
        <v/>
      </c>
      <c r="E27" s="9">
        <f>IF(ISNUMBER(D27),REPT("█",ROUND(MIN(D27,IF($B27="Velocity",MAX(1,N(D27),N(F27),N(H27),N(J27),N(L27),N(N27)),100))/IF($B27="Velocity",MAX(1,N(D27),N(F27),N(H27),N(J27),N(L27),N(N27)),100)*14,0)),"")</f>
        <v/>
      </c>
      <c r="F27" s="8">
        <f>IF(F$21="","",IF(COUNTIFS('KPI Summary'!$A$4:$A$999,F$21,'KPI Summary'!$C$4:$C$999,$B27,'KPI Summary'!$G$4:$G$999,"&gt;=0")=0,"not measured",SUMIFS('KPI Summary'!$G$4:$G$999,'KPI Summary'!$A$4:$A$999,F$21,'KPI Summary'!$C$4:$C$999,$B27)))</f>
        <v/>
      </c>
      <c r="G27" s="9">
        <f>IF(ISNUMBER(F27),REPT("█",ROUND(MIN(F27,IF($B27="Velocity",MAX(1,N(D27),N(F27),N(H27),N(J27),N(L27),N(N27)),100))/IF($B27="Velocity",MAX(1,N(D27),N(F27),N(H27),N(J27),N(L27),N(N27)),100)*14,0)),"")</f>
        <v/>
      </c>
      <c r="H27" s="8">
        <f>IF(H$21="","",IF(COUNTIFS('KPI Summary'!$A$4:$A$999,H$21,'KPI Summary'!$C$4:$C$999,$B27,'KPI Summary'!$G$4:$G$999,"&gt;=0")=0,"not measured",SUMIFS('KPI Summary'!$G$4:$G$999,'KPI Summary'!$A$4:$A$999,H$21,'KPI Summary'!$C$4:$C$999,$B27)))</f>
        <v/>
      </c>
      <c r="I27" s="9">
        <f>IF(ISNUMBER(H27),REPT("█",ROUND(MIN(H27,IF($B27="Velocity",MAX(1,N(D27),N(F27),N(H27),N(J27),N(L27),N(N27)),100))/IF($B27="Velocity",MAX(1,N(D27),N(F27),N(H27),N(J27),N(L27),N(N27)),100)*14,0)),"")</f>
        <v/>
      </c>
      <c r="J27" s="8">
        <f>IF(J$21="","",IF(COUNTIFS('KPI Summary'!$A$4:$A$999,J$21,'KPI Summary'!$C$4:$C$999,$B27,'KPI Summary'!$G$4:$G$999,"&gt;=0")=0,"not measured",SUMIFS('KPI Summary'!$G$4:$G$999,'KPI Summary'!$A$4:$A$999,J$21,'KPI Summary'!$C$4:$C$999,$B27)))</f>
        <v/>
      </c>
      <c r="K27" s="9">
        <f>IF(ISNUMBER(J27),REPT("█",ROUND(MIN(J27,IF($B27="Velocity",MAX(1,N(D27),N(F27),N(H27),N(J27),N(L27),N(N27)),100))/IF($B27="Velocity",MAX(1,N(D27),N(F27),N(H27),N(J27),N(L27),N(N27)),100)*14,0)),"")</f>
        <v/>
      </c>
      <c r="L27" s="8">
        <f>IF(L$21="","",IF(COUNTIFS('KPI Summary'!$A$4:$A$999,L$21,'KPI Summary'!$C$4:$C$999,$B27,'KPI Summary'!$G$4:$G$999,"&gt;=0")=0,"not measured",SUMIFS('KPI Summary'!$G$4:$G$999,'KPI Summary'!$A$4:$A$999,L$21,'KPI Summary'!$C$4:$C$999,$B27)))</f>
        <v/>
      </c>
      <c r="M27" s="9">
        <f>IF(ISNUMBER(L27),REPT("█",ROUND(MIN(L27,IF($B27="Velocity",MAX(1,N(D27),N(F27),N(H27),N(J27),N(L27),N(N27)),100))/IF($B27="Velocity",MAX(1,N(D27),N(F27),N(H27),N(J27),N(L27),N(N27)),100)*14,0)),"")</f>
        <v/>
      </c>
      <c r="N27" s="8">
        <f>IF(N$21="","",IF(COUNTIFS('KPI Summary'!$A$4:$A$999,N$21,'KPI Summary'!$C$4:$C$999,$B27,'KPI Summary'!$G$4:$G$999,"&gt;=0")=0,"not measured",SUMIFS('KPI Summary'!$G$4:$G$999,'KPI Summary'!$A$4:$A$999,N$21,'KPI Summary'!$C$4:$C$999,$B27)))</f>
        <v/>
      </c>
      <c r="O27" s="9">
        <f>IF(ISNUMBER(N27),REPT("█",ROUND(MIN(N27,IF($B27="Velocity",MAX(1,N(D27),N(F27),N(H27),N(J27),N(L27),N(N27)),100))/IF($B27="Velocity",MAX(1,N(D27),N(F27),N(H27),N(J27),N(L27),N(N27)),100)*14,0)),"")</f>
        <v/>
      </c>
      <c r="T27" s="11">
        <f>IF(ISNUMBER(D27),IF(COUNTIFS('KPI Summary'!$A$4:$A$999,D$21,'KPI Summary'!$C$4:$C$999,$B27,'KPI Summary'!$J$4:$J$999,"Met")&gt;0,1,0),"")</f>
        <v/>
      </c>
      <c r="U27" s="11">
        <f>IF(ISNUMBER(F27),IF(COUNTIFS('KPI Summary'!$A$4:$A$999,F$21,'KPI Summary'!$C$4:$C$999,$B27,'KPI Summary'!$J$4:$J$999,"Met")&gt;0,1,0),"")</f>
        <v/>
      </c>
      <c r="V27" s="11">
        <f>IF(ISNUMBER(H27),IF(COUNTIFS('KPI Summary'!$A$4:$A$999,H$21,'KPI Summary'!$C$4:$C$999,$B27,'KPI Summary'!$J$4:$J$999,"Met")&gt;0,1,0),"")</f>
        <v/>
      </c>
      <c r="W27" s="11">
        <f>IF(ISNUMBER(J27),IF(COUNTIFS('KPI Summary'!$A$4:$A$999,J$21,'KPI Summary'!$C$4:$C$999,$B27,'KPI Summary'!$J$4:$J$999,"Met")&gt;0,1,0),"")</f>
        <v/>
      </c>
      <c r="X27" s="11">
        <f>IF(ISNUMBER(L27),IF(COUNTIFS('KPI Summary'!$A$4:$A$999,L$21,'KPI Summary'!$C$4:$C$999,$B27,'KPI Summary'!$J$4:$J$999,"Met")&gt;0,1,0),"")</f>
        <v/>
      </c>
      <c r="Y27" s="11">
        <f>IF(ISNUMBER(N27),IF(COUNTIFS('KPI Summary'!$A$4:$A$999,N$21,'KPI Summary'!$C$4:$C$999,$B27,'KPI Summary'!$J$4:$J$999,"Met")&gt;0,1,0),"")</f>
        <v/>
      </c>
    </row>
    <row r="28">
      <c r="B28" s="7" t="inlineStr">
        <is>
          <t>Defect Rejection Rate</t>
        </is>
      </c>
      <c r="C28" s="11">
        <f>IFERROR(IF(INDEX(Config!$E$29:$E$37,MATCH($B28,Config!$B$29:$B$37,0))="Min","at least ","at most ")&amp;INDEX(Config!$F$29:$F$37,MATCH($B28,Config!$B$29:$B$37,0))&amp;IF($B28="Velocity",""," %"),"")</f>
        <v/>
      </c>
      <c r="D28" s="8">
        <f>IF(D$21="","",IF(COUNTIFS('KPI Summary'!$A$4:$A$999,D$21,'KPI Summary'!$C$4:$C$999,$B28,'KPI Summary'!$G$4:$G$999,"&gt;=0")=0,"not measured",SUMIFS('KPI Summary'!$G$4:$G$999,'KPI Summary'!$A$4:$A$999,D$21,'KPI Summary'!$C$4:$C$999,$B28)))</f>
        <v/>
      </c>
      <c r="E28" s="9">
        <f>IF(ISNUMBER(D28),REPT("█",ROUND(MIN(D28,IF($B28="Velocity",MAX(1,N(D28),N(F28),N(H28),N(J28),N(L28),N(N28)),100))/IF($B28="Velocity",MAX(1,N(D28),N(F28),N(H28),N(J28),N(L28),N(N28)),100)*14,0)),"")</f>
        <v/>
      </c>
      <c r="F28" s="8">
        <f>IF(F$21="","",IF(COUNTIFS('KPI Summary'!$A$4:$A$999,F$21,'KPI Summary'!$C$4:$C$999,$B28,'KPI Summary'!$G$4:$G$999,"&gt;=0")=0,"not measured",SUMIFS('KPI Summary'!$G$4:$G$999,'KPI Summary'!$A$4:$A$999,F$21,'KPI Summary'!$C$4:$C$999,$B28)))</f>
        <v/>
      </c>
      <c r="G28" s="9">
        <f>IF(ISNUMBER(F28),REPT("█",ROUND(MIN(F28,IF($B28="Velocity",MAX(1,N(D28),N(F28),N(H28),N(J28),N(L28),N(N28)),100))/IF($B28="Velocity",MAX(1,N(D28),N(F28),N(H28),N(J28),N(L28),N(N28)),100)*14,0)),"")</f>
        <v/>
      </c>
      <c r="H28" s="8">
        <f>IF(H$21="","",IF(COUNTIFS('KPI Summary'!$A$4:$A$999,H$21,'KPI Summary'!$C$4:$C$999,$B28,'KPI Summary'!$G$4:$G$999,"&gt;=0")=0,"not measured",SUMIFS('KPI Summary'!$G$4:$G$999,'KPI Summary'!$A$4:$A$999,H$21,'KPI Summary'!$C$4:$C$999,$B28)))</f>
        <v/>
      </c>
      <c r="I28" s="9">
        <f>IF(ISNUMBER(H28),REPT("█",ROUND(MIN(H28,IF($B28="Velocity",MAX(1,N(D28),N(F28),N(H28),N(J28),N(L28),N(N28)),100))/IF($B28="Velocity",MAX(1,N(D28),N(F28),N(H28),N(J28),N(L28),N(N28)),100)*14,0)),"")</f>
        <v/>
      </c>
      <c r="J28" s="8">
        <f>IF(J$21="","",IF(COUNTIFS('KPI Summary'!$A$4:$A$999,J$21,'KPI Summary'!$C$4:$C$999,$B28,'KPI Summary'!$G$4:$G$999,"&gt;=0")=0,"not measured",SUMIFS('KPI Summary'!$G$4:$G$999,'KPI Summary'!$A$4:$A$999,J$21,'KPI Summary'!$C$4:$C$999,$B28)))</f>
        <v/>
      </c>
      <c r="K28" s="9">
        <f>IF(ISNUMBER(J28),REPT("█",ROUND(MIN(J28,IF($B28="Velocity",MAX(1,N(D28),N(F28),N(H28),N(J28),N(L28),N(N28)),100))/IF($B28="Velocity",MAX(1,N(D28),N(F28),N(H28),N(J28),N(L28),N(N28)),100)*14,0)),"")</f>
        <v/>
      </c>
      <c r="L28" s="8">
        <f>IF(L$21="","",IF(COUNTIFS('KPI Summary'!$A$4:$A$999,L$21,'KPI Summary'!$C$4:$C$999,$B28,'KPI Summary'!$G$4:$G$999,"&gt;=0")=0,"not measured",SUMIFS('KPI Summary'!$G$4:$G$999,'KPI Summary'!$A$4:$A$999,L$21,'KPI Summary'!$C$4:$C$999,$B28)))</f>
        <v/>
      </c>
      <c r="M28" s="9">
        <f>IF(ISNUMBER(L28),REPT("█",ROUND(MIN(L28,IF($B28="Velocity",MAX(1,N(D28),N(F28),N(H28),N(J28),N(L28),N(N28)),100))/IF($B28="Velocity",MAX(1,N(D28),N(F28),N(H28),N(J28),N(L28),N(N28)),100)*14,0)),"")</f>
        <v/>
      </c>
      <c r="N28" s="8">
        <f>IF(N$21="","",IF(COUNTIFS('KPI Summary'!$A$4:$A$999,N$21,'KPI Summary'!$C$4:$C$999,$B28,'KPI Summary'!$G$4:$G$999,"&gt;=0")=0,"not measured",SUMIFS('KPI Summary'!$G$4:$G$999,'KPI Summary'!$A$4:$A$999,N$21,'KPI Summary'!$C$4:$C$999,$B28)))</f>
        <v/>
      </c>
      <c r="O28" s="9">
        <f>IF(ISNUMBER(N28),REPT("█",ROUND(MIN(N28,IF($B28="Velocity",MAX(1,N(D28),N(F28),N(H28),N(J28),N(L28),N(N28)),100))/IF($B28="Velocity",MAX(1,N(D28),N(F28),N(H28),N(J28),N(L28),N(N28)),100)*14,0)),"")</f>
        <v/>
      </c>
      <c r="T28" s="11">
        <f>IF(ISNUMBER(D28),IF(COUNTIFS('KPI Summary'!$A$4:$A$999,D$21,'KPI Summary'!$C$4:$C$999,$B28,'KPI Summary'!$J$4:$J$999,"Met")&gt;0,1,0),"")</f>
        <v/>
      </c>
      <c r="U28" s="11">
        <f>IF(ISNUMBER(F28),IF(COUNTIFS('KPI Summary'!$A$4:$A$999,F$21,'KPI Summary'!$C$4:$C$999,$B28,'KPI Summary'!$J$4:$J$999,"Met")&gt;0,1,0),"")</f>
        <v/>
      </c>
      <c r="V28" s="11">
        <f>IF(ISNUMBER(H28),IF(COUNTIFS('KPI Summary'!$A$4:$A$999,H$21,'KPI Summary'!$C$4:$C$999,$B28,'KPI Summary'!$J$4:$J$999,"Met")&gt;0,1,0),"")</f>
        <v/>
      </c>
      <c r="W28" s="11">
        <f>IF(ISNUMBER(J28),IF(COUNTIFS('KPI Summary'!$A$4:$A$999,J$21,'KPI Summary'!$C$4:$C$999,$B28,'KPI Summary'!$J$4:$J$999,"Met")&gt;0,1,0),"")</f>
        <v/>
      </c>
      <c r="X28" s="11">
        <f>IF(ISNUMBER(L28),IF(COUNTIFS('KPI Summary'!$A$4:$A$999,L$21,'KPI Summary'!$C$4:$C$999,$B28,'KPI Summary'!$J$4:$J$999,"Met")&gt;0,1,0),"")</f>
        <v/>
      </c>
      <c r="Y28" s="11">
        <f>IF(ISNUMBER(N28),IF(COUNTIFS('KPI Summary'!$A$4:$A$999,N$21,'KPI Summary'!$C$4:$C$999,$B28,'KPI Summary'!$J$4:$J$999,"Met")&gt;0,1,0),"")</f>
        <v/>
      </c>
    </row>
    <row r="29">
      <c r="B29" s="7" t="inlineStr">
        <is>
          <t>Rework Rate</t>
        </is>
      </c>
      <c r="C29" s="11">
        <f>IFERROR(IF(INDEX(Config!$E$29:$E$37,MATCH($B29,Config!$B$29:$B$37,0))="Min","at least ","at most ")&amp;INDEX(Config!$F$29:$F$37,MATCH($B29,Config!$B$29:$B$37,0))&amp;IF($B29="Velocity",""," %"),"")</f>
        <v/>
      </c>
      <c r="D29" s="8">
        <f>IF(D$21="","",IF(COUNTIFS('KPI Summary'!$A$4:$A$999,D$21,'KPI Summary'!$C$4:$C$999,$B29,'KPI Summary'!$G$4:$G$999,"&gt;=0")=0,"not measured",SUMIFS('KPI Summary'!$G$4:$G$999,'KPI Summary'!$A$4:$A$999,D$21,'KPI Summary'!$C$4:$C$999,$B29)))</f>
        <v/>
      </c>
      <c r="E29" s="9">
        <f>IF(ISNUMBER(D29),REPT("█",ROUND(MIN(D29,IF($B29="Velocity",MAX(1,N(D29),N(F29),N(H29),N(J29),N(L29),N(N29)),100))/IF($B29="Velocity",MAX(1,N(D29),N(F29),N(H29),N(J29),N(L29),N(N29)),100)*14,0)),"")</f>
        <v/>
      </c>
      <c r="F29" s="8">
        <f>IF(F$21="","",IF(COUNTIFS('KPI Summary'!$A$4:$A$999,F$21,'KPI Summary'!$C$4:$C$999,$B29,'KPI Summary'!$G$4:$G$999,"&gt;=0")=0,"not measured",SUMIFS('KPI Summary'!$G$4:$G$999,'KPI Summary'!$A$4:$A$999,F$21,'KPI Summary'!$C$4:$C$999,$B29)))</f>
        <v/>
      </c>
      <c r="G29" s="9">
        <f>IF(ISNUMBER(F29),REPT("█",ROUND(MIN(F29,IF($B29="Velocity",MAX(1,N(D29),N(F29),N(H29),N(J29),N(L29),N(N29)),100))/IF($B29="Velocity",MAX(1,N(D29),N(F29),N(H29),N(J29),N(L29),N(N29)),100)*14,0)),"")</f>
        <v/>
      </c>
      <c r="H29" s="8">
        <f>IF(H$21="","",IF(COUNTIFS('KPI Summary'!$A$4:$A$999,H$21,'KPI Summary'!$C$4:$C$999,$B29,'KPI Summary'!$G$4:$G$999,"&gt;=0")=0,"not measured",SUMIFS('KPI Summary'!$G$4:$G$999,'KPI Summary'!$A$4:$A$999,H$21,'KPI Summary'!$C$4:$C$999,$B29)))</f>
        <v/>
      </c>
      <c r="I29" s="9">
        <f>IF(ISNUMBER(H29),REPT("█",ROUND(MIN(H29,IF($B29="Velocity",MAX(1,N(D29),N(F29),N(H29),N(J29),N(L29),N(N29)),100))/IF($B29="Velocity",MAX(1,N(D29),N(F29),N(H29),N(J29),N(L29),N(N29)),100)*14,0)),"")</f>
        <v/>
      </c>
      <c r="J29" s="8">
        <f>IF(J$21="","",IF(COUNTIFS('KPI Summary'!$A$4:$A$999,J$21,'KPI Summary'!$C$4:$C$999,$B29,'KPI Summary'!$G$4:$G$999,"&gt;=0")=0,"not measured",SUMIFS('KPI Summary'!$G$4:$G$999,'KPI Summary'!$A$4:$A$999,J$21,'KPI Summary'!$C$4:$C$999,$B29)))</f>
        <v/>
      </c>
      <c r="K29" s="9">
        <f>IF(ISNUMBER(J29),REPT("█",ROUND(MIN(J29,IF($B29="Velocity",MAX(1,N(D29),N(F29),N(H29),N(J29),N(L29),N(N29)),100))/IF($B29="Velocity",MAX(1,N(D29),N(F29),N(H29),N(J29),N(L29),N(N29)),100)*14,0)),"")</f>
        <v/>
      </c>
      <c r="L29" s="8">
        <f>IF(L$21="","",IF(COUNTIFS('KPI Summary'!$A$4:$A$999,L$21,'KPI Summary'!$C$4:$C$999,$B29,'KPI Summary'!$G$4:$G$999,"&gt;=0")=0,"not measured",SUMIFS('KPI Summary'!$G$4:$G$999,'KPI Summary'!$A$4:$A$999,L$21,'KPI Summary'!$C$4:$C$999,$B29)))</f>
        <v/>
      </c>
      <c r="M29" s="9">
        <f>IF(ISNUMBER(L29),REPT("█",ROUND(MIN(L29,IF($B29="Velocity",MAX(1,N(D29),N(F29),N(H29),N(J29),N(L29),N(N29)),100))/IF($B29="Velocity",MAX(1,N(D29),N(F29),N(H29),N(J29),N(L29),N(N29)),100)*14,0)),"")</f>
        <v/>
      </c>
      <c r="N29" s="8">
        <f>IF(N$21="","",IF(COUNTIFS('KPI Summary'!$A$4:$A$999,N$21,'KPI Summary'!$C$4:$C$999,$B29,'KPI Summary'!$G$4:$G$999,"&gt;=0")=0,"not measured",SUMIFS('KPI Summary'!$G$4:$G$999,'KPI Summary'!$A$4:$A$999,N$21,'KPI Summary'!$C$4:$C$999,$B29)))</f>
        <v/>
      </c>
      <c r="O29" s="9">
        <f>IF(ISNUMBER(N29),REPT("█",ROUND(MIN(N29,IF($B29="Velocity",MAX(1,N(D29),N(F29),N(H29),N(J29),N(L29),N(N29)),100))/IF($B29="Velocity",MAX(1,N(D29),N(F29),N(H29),N(J29),N(L29),N(N29)),100)*14,0)),"")</f>
        <v/>
      </c>
      <c r="T29" s="11">
        <f>IF(ISNUMBER(D29),IF(COUNTIFS('KPI Summary'!$A$4:$A$999,D$21,'KPI Summary'!$C$4:$C$999,$B29,'KPI Summary'!$J$4:$J$999,"Met")&gt;0,1,0),"")</f>
        <v/>
      </c>
      <c r="U29" s="11">
        <f>IF(ISNUMBER(F29),IF(COUNTIFS('KPI Summary'!$A$4:$A$999,F$21,'KPI Summary'!$C$4:$C$999,$B29,'KPI Summary'!$J$4:$J$999,"Met")&gt;0,1,0),"")</f>
        <v/>
      </c>
      <c r="V29" s="11">
        <f>IF(ISNUMBER(H29),IF(COUNTIFS('KPI Summary'!$A$4:$A$999,H$21,'KPI Summary'!$C$4:$C$999,$B29,'KPI Summary'!$J$4:$J$999,"Met")&gt;0,1,0),"")</f>
        <v/>
      </c>
      <c r="W29" s="11">
        <f>IF(ISNUMBER(J29),IF(COUNTIFS('KPI Summary'!$A$4:$A$999,J$21,'KPI Summary'!$C$4:$C$999,$B29,'KPI Summary'!$J$4:$J$999,"Met")&gt;0,1,0),"")</f>
        <v/>
      </c>
      <c r="X29" s="11">
        <f>IF(ISNUMBER(L29),IF(COUNTIFS('KPI Summary'!$A$4:$A$999,L$21,'KPI Summary'!$C$4:$C$999,$B29,'KPI Summary'!$J$4:$J$999,"Met")&gt;0,1,0),"")</f>
        <v/>
      </c>
      <c r="Y29" s="11">
        <f>IF(ISNUMBER(N29),IF(COUNTIFS('KPI Summary'!$A$4:$A$999,N$21,'KPI Summary'!$C$4:$C$999,$B29,'KPI Summary'!$J$4:$J$999,"Met")&gt;0,1,0),"")</f>
        <v/>
      </c>
    </row>
    <row r="30">
      <c r="B30" s="7" t="inlineStr">
        <is>
          <t>CR Rate</t>
        </is>
      </c>
      <c r="C30" s="11">
        <f>IFERROR(IF(INDEX(Config!$E$29:$E$37,MATCH($B30,Config!$B$29:$B$37,0))="Min","at least ","at most ")&amp;INDEX(Config!$F$29:$F$37,MATCH($B30,Config!$B$29:$B$37,0))&amp;IF($B30="Velocity",""," %"),"")</f>
        <v/>
      </c>
      <c r="D30" s="8">
        <f>IF(D$21="","",IF(COUNTIFS('KPI Summary'!$A$4:$A$999,D$21,'KPI Summary'!$C$4:$C$999,$B30,'KPI Summary'!$G$4:$G$999,"&gt;=0")=0,"not measured",SUMIFS('KPI Summary'!$G$4:$G$999,'KPI Summary'!$A$4:$A$999,D$21,'KPI Summary'!$C$4:$C$999,$B30)))</f>
        <v/>
      </c>
      <c r="E30" s="9">
        <f>IF(ISNUMBER(D30),REPT("█",ROUND(MIN(D30,IF($B30="Velocity",MAX(1,N(D30),N(F30),N(H30),N(J30),N(L30),N(N30)),100))/IF($B30="Velocity",MAX(1,N(D30),N(F30),N(H30),N(J30),N(L30),N(N30)),100)*14,0)),"")</f>
        <v/>
      </c>
      <c r="F30" s="8">
        <f>IF(F$21="","",IF(COUNTIFS('KPI Summary'!$A$4:$A$999,F$21,'KPI Summary'!$C$4:$C$999,$B30,'KPI Summary'!$G$4:$G$999,"&gt;=0")=0,"not measured",SUMIFS('KPI Summary'!$G$4:$G$999,'KPI Summary'!$A$4:$A$999,F$21,'KPI Summary'!$C$4:$C$999,$B30)))</f>
        <v/>
      </c>
      <c r="G30" s="9">
        <f>IF(ISNUMBER(F30),REPT("█",ROUND(MIN(F30,IF($B30="Velocity",MAX(1,N(D30),N(F30),N(H30),N(J30),N(L30),N(N30)),100))/IF($B30="Velocity",MAX(1,N(D30),N(F30),N(H30),N(J30),N(L30),N(N30)),100)*14,0)),"")</f>
        <v/>
      </c>
      <c r="H30" s="8">
        <f>IF(H$21="","",IF(COUNTIFS('KPI Summary'!$A$4:$A$999,H$21,'KPI Summary'!$C$4:$C$999,$B30,'KPI Summary'!$G$4:$G$999,"&gt;=0")=0,"not measured",SUMIFS('KPI Summary'!$G$4:$G$999,'KPI Summary'!$A$4:$A$999,H$21,'KPI Summary'!$C$4:$C$999,$B30)))</f>
        <v/>
      </c>
      <c r="I30" s="9">
        <f>IF(ISNUMBER(H30),REPT("█",ROUND(MIN(H30,IF($B30="Velocity",MAX(1,N(D30),N(F30),N(H30),N(J30),N(L30),N(N30)),100))/IF($B30="Velocity",MAX(1,N(D30),N(F30),N(H30),N(J30),N(L30),N(N30)),100)*14,0)),"")</f>
        <v/>
      </c>
      <c r="J30" s="8">
        <f>IF(J$21="","",IF(COUNTIFS('KPI Summary'!$A$4:$A$999,J$21,'KPI Summary'!$C$4:$C$999,$B30,'KPI Summary'!$G$4:$G$999,"&gt;=0")=0,"not measured",SUMIFS('KPI Summary'!$G$4:$G$999,'KPI Summary'!$A$4:$A$999,J$21,'KPI Summary'!$C$4:$C$999,$B30)))</f>
        <v/>
      </c>
      <c r="K30" s="9">
        <f>IF(ISNUMBER(J30),REPT("█",ROUND(MIN(J30,IF($B30="Velocity",MAX(1,N(D30),N(F30),N(H30),N(J30),N(L30),N(N30)),100))/IF($B30="Velocity",MAX(1,N(D30),N(F30),N(H30),N(J30),N(L30),N(N30)),100)*14,0)),"")</f>
        <v/>
      </c>
      <c r="L30" s="8">
        <f>IF(L$21="","",IF(COUNTIFS('KPI Summary'!$A$4:$A$999,L$21,'KPI Summary'!$C$4:$C$999,$B30,'KPI Summary'!$G$4:$G$999,"&gt;=0")=0,"not measured",SUMIFS('KPI Summary'!$G$4:$G$999,'KPI Summary'!$A$4:$A$999,L$21,'KPI Summary'!$C$4:$C$999,$B30)))</f>
        <v/>
      </c>
      <c r="M30" s="9">
        <f>IF(ISNUMBER(L30),REPT("█",ROUND(MIN(L30,IF($B30="Velocity",MAX(1,N(D30),N(F30),N(H30),N(J30),N(L30),N(N30)),100))/IF($B30="Velocity",MAX(1,N(D30),N(F30),N(H30),N(J30),N(L30),N(N30)),100)*14,0)),"")</f>
        <v/>
      </c>
      <c r="N30" s="8">
        <f>IF(N$21="","",IF(COUNTIFS('KPI Summary'!$A$4:$A$999,N$21,'KPI Summary'!$C$4:$C$999,$B30,'KPI Summary'!$G$4:$G$999,"&gt;=0")=0,"not measured",SUMIFS('KPI Summary'!$G$4:$G$999,'KPI Summary'!$A$4:$A$999,N$21,'KPI Summary'!$C$4:$C$999,$B30)))</f>
        <v/>
      </c>
      <c r="O30" s="9">
        <f>IF(ISNUMBER(N30),REPT("█",ROUND(MIN(N30,IF($B30="Velocity",MAX(1,N(D30),N(F30),N(H30),N(J30),N(L30),N(N30)),100))/IF($B30="Velocity",MAX(1,N(D30),N(F30),N(H30),N(J30),N(L30),N(N30)),100)*14,0)),"")</f>
        <v/>
      </c>
      <c r="T30" s="11">
        <f>IF(ISNUMBER(D30),IF(COUNTIFS('KPI Summary'!$A$4:$A$999,D$21,'KPI Summary'!$C$4:$C$999,$B30,'KPI Summary'!$J$4:$J$999,"Met")&gt;0,1,0),"")</f>
        <v/>
      </c>
      <c r="U30" s="11">
        <f>IF(ISNUMBER(F30),IF(COUNTIFS('KPI Summary'!$A$4:$A$999,F$21,'KPI Summary'!$C$4:$C$999,$B30,'KPI Summary'!$J$4:$J$999,"Met")&gt;0,1,0),"")</f>
        <v/>
      </c>
      <c r="V30" s="11">
        <f>IF(ISNUMBER(H30),IF(COUNTIFS('KPI Summary'!$A$4:$A$999,H$21,'KPI Summary'!$C$4:$C$999,$B30,'KPI Summary'!$J$4:$J$999,"Met")&gt;0,1,0),"")</f>
        <v/>
      </c>
      <c r="W30" s="11">
        <f>IF(ISNUMBER(J30),IF(COUNTIFS('KPI Summary'!$A$4:$A$999,J$21,'KPI Summary'!$C$4:$C$999,$B30,'KPI Summary'!$J$4:$J$999,"Met")&gt;0,1,0),"")</f>
        <v/>
      </c>
      <c r="X30" s="11">
        <f>IF(ISNUMBER(L30),IF(COUNTIFS('KPI Summary'!$A$4:$A$999,L$21,'KPI Summary'!$C$4:$C$999,$B30,'KPI Summary'!$J$4:$J$999,"Met")&gt;0,1,0),"")</f>
        <v/>
      </c>
      <c r="Y30" s="11">
        <f>IF(ISNUMBER(N30),IF(COUNTIFS('KPI Summary'!$A$4:$A$999,N$21,'KPI Summary'!$C$4:$C$999,$B30,'KPI Summary'!$J$4:$J$999,"Met")&gt;0,1,0),"")</f>
        <v/>
      </c>
    </row>
    <row r="32">
      <c r="A32" s="3" t="inlineStr">
        <is>
          <t>Status across all periods</t>
        </is>
      </c>
      <c r="B32" s="3" t="n"/>
      <c r="C32" s="3" t="n"/>
      <c r="D32" s="3" t="n"/>
      <c r="E32" s="3" t="n"/>
      <c r="F32" s="3" t="n"/>
      <c r="G32" s="3" t="n"/>
      <c r="H32" s="3" t="n"/>
      <c r="I32" s="3" t="n"/>
      <c r="J32" s="3" t="n"/>
      <c r="K32" s="3" t="n"/>
      <c r="L32" s="3" t="n"/>
      <c r="M32" s="3" t="n"/>
      <c r="N32" s="3" t="n"/>
      <c r="O32" s="3" t="n"/>
      <c r="P32" s="3" t="n"/>
      <c r="Q32" s="3" t="n"/>
      <c r="R32" s="3" t="n"/>
    </row>
    <row r="33">
      <c r="B33" s="7" t="inlineStr">
        <is>
          <t>Met</t>
        </is>
      </c>
      <c r="C33" s="8">
        <f>COUNTIF('KPI Summary'!$J$4:$J$999,"Met")</f>
        <v/>
      </c>
      <c r="D33" s="7" t="inlineStr">
        <is>
          <t>Not met</t>
        </is>
      </c>
      <c r="E33" s="8">
        <f>COUNTIF('KPI Summary'!$J$4:$J$999,"Below minimum")+COUNTIF('KPI Summary'!$J$4:$J$999,"Above maximum")</f>
        <v/>
      </c>
    </row>
    <row r="34">
      <c r="B34" s="7" t="inlineStr">
        <is>
          <t>Not measured yet</t>
        </is>
      </c>
      <c r="C34" s="8">
        <f>COUNTIF('KPI Summary'!$J$4:$J$999,"Not measured")</f>
        <v/>
      </c>
      <c r="D34" s="7" t="inlineStr">
        <is>
          <t>Reasons still missing</t>
        </is>
      </c>
      <c r="E34" s="8">
        <f>SUMPRODUCT(('KPI Summary'!$K$4:$K$999="Yes")*(LEN('KPI Summary'!$M$4:$M$999)=0))</f>
        <v/>
      </c>
    </row>
    <row r="35">
      <c r="B35" s="7" t="inlineStr">
        <is>
          <t>Rows waiting for a check</t>
        </is>
      </c>
      <c r="C35" s="8">
        <f>COUNTIF('Task Register'!$AG$4:$AG$999,"?*")+COUNTIF('Defect Register'!$Q$4:$Q$999,"?*")</f>
        <v/>
      </c>
      <c r="D35" s="7" t="inlineStr">
        <is>
          <t>Open questions</t>
        </is>
      </c>
      <c r="E35" s="8">
        <f>SUMPRODUCT((LEN('Open Questions'!$B$4:$B$999)&gt;0)*(LEN('Open Questions'!$E$4:$E$999)=0))</f>
        <v/>
      </c>
    </row>
    <row r="37">
      <c r="A37" s="3" t="inlineStr">
        <is>
          <t>What moved since the last run: nothing</t>
        </is>
      </c>
      <c r="B37" s="3" t="n"/>
      <c r="C37" s="3" t="n"/>
      <c r="D37" s="3" t="n"/>
      <c r="E37" s="3" t="n"/>
      <c r="F37" s="3" t="n"/>
      <c r="G37" s="3" t="n"/>
      <c r="H37" s="3" t="n"/>
      <c r="I37" s="3" t="n"/>
      <c r="J37" s="3" t="n"/>
      <c r="K37" s="3" t="n"/>
      <c r="L37" s="3" t="n"/>
      <c r="M37" s="3" t="n"/>
      <c r="N37" s="3" t="n"/>
      <c r="O37" s="3" t="n"/>
      <c r="P37" s="3" t="n"/>
      <c r="Q37" s="3" t="n"/>
      <c r="R37" s="3" t="n"/>
    </row>
  </sheetData>
  <conditionalFormatting sqref="E22">
    <cfRule type="expression" priority="1" dxfId="0" stopIfTrue="0">
      <formula>$T22=0</formula>
    </cfRule>
  </conditionalFormatting>
  <conditionalFormatting sqref="G22">
    <cfRule type="expression" priority="2" dxfId="0" stopIfTrue="0">
      <formula>$U22=0</formula>
    </cfRule>
  </conditionalFormatting>
  <conditionalFormatting sqref="I22">
    <cfRule type="expression" priority="3" dxfId="0" stopIfTrue="0">
      <formula>$V22=0</formula>
    </cfRule>
  </conditionalFormatting>
  <conditionalFormatting sqref="K22">
    <cfRule type="expression" priority="4" dxfId="0" stopIfTrue="0">
      <formula>$W22=0</formula>
    </cfRule>
  </conditionalFormatting>
  <conditionalFormatting sqref="M22">
    <cfRule type="expression" priority="5" dxfId="0" stopIfTrue="0">
      <formula>$X22=0</formula>
    </cfRule>
  </conditionalFormatting>
  <conditionalFormatting sqref="O22">
    <cfRule type="expression" priority="6" dxfId="0" stopIfTrue="0">
      <formula>$Y22=0</formula>
    </cfRule>
  </conditionalFormatting>
  <conditionalFormatting sqref="E23">
    <cfRule type="expression" priority="7" dxfId="0" stopIfTrue="0">
      <formula>$T23=0</formula>
    </cfRule>
  </conditionalFormatting>
  <conditionalFormatting sqref="G23">
    <cfRule type="expression" priority="8" dxfId="0" stopIfTrue="0">
      <formula>$U23=0</formula>
    </cfRule>
  </conditionalFormatting>
  <conditionalFormatting sqref="I23">
    <cfRule type="expression" priority="9" dxfId="0" stopIfTrue="0">
      <formula>$V23=0</formula>
    </cfRule>
  </conditionalFormatting>
  <conditionalFormatting sqref="K23">
    <cfRule type="expression" priority="10" dxfId="0" stopIfTrue="0">
      <formula>$W23=0</formula>
    </cfRule>
  </conditionalFormatting>
  <conditionalFormatting sqref="M23">
    <cfRule type="expression" priority="11" dxfId="0" stopIfTrue="0">
      <formula>$X23=0</formula>
    </cfRule>
  </conditionalFormatting>
  <conditionalFormatting sqref="O23">
    <cfRule type="expression" priority="12" dxfId="0" stopIfTrue="0">
      <formula>$Y23=0</formula>
    </cfRule>
  </conditionalFormatting>
  <conditionalFormatting sqref="E24">
    <cfRule type="expression" priority="13" dxfId="0" stopIfTrue="0">
      <formula>$T24=0</formula>
    </cfRule>
  </conditionalFormatting>
  <conditionalFormatting sqref="G24">
    <cfRule type="expression" priority="14" dxfId="0" stopIfTrue="0">
      <formula>$U24=0</formula>
    </cfRule>
  </conditionalFormatting>
  <conditionalFormatting sqref="I24">
    <cfRule type="expression" priority="15" dxfId="0" stopIfTrue="0">
      <formula>$V24=0</formula>
    </cfRule>
  </conditionalFormatting>
  <conditionalFormatting sqref="K24">
    <cfRule type="expression" priority="16" dxfId="0" stopIfTrue="0">
      <formula>$W24=0</formula>
    </cfRule>
  </conditionalFormatting>
  <conditionalFormatting sqref="M24">
    <cfRule type="expression" priority="17" dxfId="0" stopIfTrue="0">
      <formula>$X24=0</formula>
    </cfRule>
  </conditionalFormatting>
  <conditionalFormatting sqref="O24">
    <cfRule type="expression" priority="18" dxfId="0" stopIfTrue="0">
      <formula>$Y24=0</formula>
    </cfRule>
  </conditionalFormatting>
  <conditionalFormatting sqref="E25">
    <cfRule type="expression" priority="19" dxfId="0" stopIfTrue="0">
      <formula>$T25=0</formula>
    </cfRule>
  </conditionalFormatting>
  <conditionalFormatting sqref="G25">
    <cfRule type="expression" priority="20" dxfId="0" stopIfTrue="0">
      <formula>$U25=0</formula>
    </cfRule>
  </conditionalFormatting>
  <conditionalFormatting sqref="I25">
    <cfRule type="expression" priority="21" dxfId="0" stopIfTrue="0">
      <formula>$V25=0</formula>
    </cfRule>
  </conditionalFormatting>
  <conditionalFormatting sqref="K25">
    <cfRule type="expression" priority="22" dxfId="0" stopIfTrue="0">
      <formula>$W25=0</formula>
    </cfRule>
  </conditionalFormatting>
  <conditionalFormatting sqref="M25">
    <cfRule type="expression" priority="23" dxfId="0" stopIfTrue="0">
      <formula>$X25=0</formula>
    </cfRule>
  </conditionalFormatting>
  <conditionalFormatting sqref="O25">
    <cfRule type="expression" priority="24" dxfId="0" stopIfTrue="0">
      <formula>$Y25=0</formula>
    </cfRule>
  </conditionalFormatting>
  <conditionalFormatting sqref="E26">
    <cfRule type="expression" priority="25" dxfId="0" stopIfTrue="0">
      <formula>$T26=0</formula>
    </cfRule>
  </conditionalFormatting>
  <conditionalFormatting sqref="G26">
    <cfRule type="expression" priority="26" dxfId="0" stopIfTrue="0">
      <formula>$U26=0</formula>
    </cfRule>
  </conditionalFormatting>
  <conditionalFormatting sqref="I26">
    <cfRule type="expression" priority="27" dxfId="0" stopIfTrue="0">
      <formula>$V26=0</formula>
    </cfRule>
  </conditionalFormatting>
  <conditionalFormatting sqref="K26">
    <cfRule type="expression" priority="28" dxfId="0" stopIfTrue="0">
      <formula>$W26=0</formula>
    </cfRule>
  </conditionalFormatting>
  <conditionalFormatting sqref="M26">
    <cfRule type="expression" priority="29" dxfId="0" stopIfTrue="0">
      <formula>$X26=0</formula>
    </cfRule>
  </conditionalFormatting>
  <conditionalFormatting sqref="O26">
    <cfRule type="expression" priority="30" dxfId="0" stopIfTrue="0">
      <formula>$Y26=0</formula>
    </cfRule>
  </conditionalFormatting>
  <conditionalFormatting sqref="E27">
    <cfRule type="expression" priority="31" dxfId="0" stopIfTrue="0">
      <formula>$T27=0</formula>
    </cfRule>
  </conditionalFormatting>
  <conditionalFormatting sqref="G27">
    <cfRule type="expression" priority="32" dxfId="0" stopIfTrue="0">
      <formula>$U27=0</formula>
    </cfRule>
  </conditionalFormatting>
  <conditionalFormatting sqref="I27">
    <cfRule type="expression" priority="33" dxfId="0" stopIfTrue="0">
      <formula>$V27=0</formula>
    </cfRule>
  </conditionalFormatting>
  <conditionalFormatting sqref="K27">
    <cfRule type="expression" priority="34" dxfId="0" stopIfTrue="0">
      <formula>$W27=0</formula>
    </cfRule>
  </conditionalFormatting>
  <conditionalFormatting sqref="M27">
    <cfRule type="expression" priority="35" dxfId="0" stopIfTrue="0">
      <formula>$X27=0</formula>
    </cfRule>
  </conditionalFormatting>
  <conditionalFormatting sqref="O27">
    <cfRule type="expression" priority="36" dxfId="0" stopIfTrue="0">
      <formula>$Y27=0</formula>
    </cfRule>
  </conditionalFormatting>
  <conditionalFormatting sqref="E28">
    <cfRule type="expression" priority="37" dxfId="0" stopIfTrue="0">
      <formula>$T28=0</formula>
    </cfRule>
  </conditionalFormatting>
  <conditionalFormatting sqref="G28">
    <cfRule type="expression" priority="38" dxfId="0" stopIfTrue="0">
      <formula>$U28=0</formula>
    </cfRule>
  </conditionalFormatting>
  <conditionalFormatting sqref="I28">
    <cfRule type="expression" priority="39" dxfId="0" stopIfTrue="0">
      <formula>$V28=0</formula>
    </cfRule>
  </conditionalFormatting>
  <conditionalFormatting sqref="K28">
    <cfRule type="expression" priority="40" dxfId="0" stopIfTrue="0">
      <formula>$W28=0</formula>
    </cfRule>
  </conditionalFormatting>
  <conditionalFormatting sqref="M28">
    <cfRule type="expression" priority="41" dxfId="0" stopIfTrue="0">
      <formula>$X28=0</formula>
    </cfRule>
  </conditionalFormatting>
  <conditionalFormatting sqref="O28">
    <cfRule type="expression" priority="42" dxfId="0" stopIfTrue="0">
      <formula>$Y28=0</formula>
    </cfRule>
  </conditionalFormatting>
  <conditionalFormatting sqref="E29">
    <cfRule type="expression" priority="43" dxfId="0" stopIfTrue="0">
      <formula>$T29=0</formula>
    </cfRule>
  </conditionalFormatting>
  <conditionalFormatting sqref="G29">
    <cfRule type="expression" priority="44" dxfId="0" stopIfTrue="0">
      <formula>$U29=0</formula>
    </cfRule>
  </conditionalFormatting>
  <conditionalFormatting sqref="I29">
    <cfRule type="expression" priority="45" dxfId="0" stopIfTrue="0">
      <formula>$V29=0</formula>
    </cfRule>
  </conditionalFormatting>
  <conditionalFormatting sqref="K29">
    <cfRule type="expression" priority="46" dxfId="0" stopIfTrue="0">
      <formula>$W29=0</formula>
    </cfRule>
  </conditionalFormatting>
  <conditionalFormatting sqref="M29">
    <cfRule type="expression" priority="47" dxfId="0" stopIfTrue="0">
      <formula>$X29=0</formula>
    </cfRule>
  </conditionalFormatting>
  <conditionalFormatting sqref="O29">
    <cfRule type="expression" priority="48" dxfId="0" stopIfTrue="0">
      <formula>$Y29=0</formula>
    </cfRule>
  </conditionalFormatting>
  <conditionalFormatting sqref="E30">
    <cfRule type="expression" priority="49" dxfId="0" stopIfTrue="0">
      <formula>$T30=0</formula>
    </cfRule>
  </conditionalFormatting>
  <conditionalFormatting sqref="G30">
    <cfRule type="expression" priority="50" dxfId="0" stopIfTrue="0">
      <formula>$U30=0</formula>
    </cfRule>
  </conditionalFormatting>
  <conditionalFormatting sqref="I30">
    <cfRule type="expression" priority="51" dxfId="0" stopIfTrue="0">
      <formula>$V30=0</formula>
    </cfRule>
  </conditionalFormatting>
  <conditionalFormatting sqref="K30">
    <cfRule type="expression" priority="52" dxfId="0" stopIfTrue="0">
      <formula>$W30=0</formula>
    </cfRule>
  </conditionalFormatting>
  <conditionalFormatting sqref="M30">
    <cfRule type="expression" priority="53" dxfId="0" stopIfTrue="0">
      <formula>$X30=0</formula>
    </cfRule>
  </conditionalFormatting>
  <conditionalFormatting sqref="O30">
    <cfRule type="expression" priority="54" dxfId="0" stopIfTrue="0">
      <formula>$Y30=0</formula>
    </cfRule>
  </conditionalFormatting>
  <pageMargins left="0.75" right="0.75" top="1" bottom="1" header="0.5" footer="0.5"/>
</worksheet>
</file>

<file path=xl/worksheets/sheet3.xml><?xml version="1.0" encoding="utf-8"?>
<worksheet xmlns="http://schemas.openxmlformats.org/spreadsheetml/2006/main">
  <sheetPr>
    <tabColor rgb="002F5597"/>
    <outlinePr summaryBelow="1" summaryRight="1"/>
    <pageSetUpPr/>
  </sheetPr>
  <dimension ref="A1:I43"/>
  <sheetViews>
    <sheetView showGridLines="0" workbookViewId="0">
      <pane ySplit="3" topLeftCell="A4" activePane="bottomLeft" state="frozen"/>
      <selection pane="bottomLeft" activeCell="A1" sqref="A1"/>
    </sheetView>
  </sheetViews>
  <sheetFormatPr baseColWidth="8" defaultRowHeight="15"/>
  <cols>
    <col width="3" customWidth="1" min="1" max="1"/>
    <col width="34" customWidth="1" min="2" max="2"/>
    <col width="46" customWidth="1" min="3" max="3"/>
    <col width="12" customWidth="1" min="4" max="4"/>
    <col width="10" customWidth="1" min="5" max="5"/>
    <col width="12" customWidth="1" min="6" max="6"/>
    <col width="60" customWidth="1" min="7" max="7"/>
    <col width="60" customWidth="1" min="8" max="8"/>
    <col width="30" customWidth="1" min="9" max="9"/>
  </cols>
  <sheetData>
    <row r="1">
      <c r="A1" s="1" t="inlineStr">
        <is>
          <t>KPI Tracker - Configuration</t>
        </is>
      </c>
    </row>
    <row r="2">
      <c r="A2" s="2" t="inlineStr">
        <is>
          <t>Yellow cells are settings the sheet's formulas read. The run reads them back: dates are kept; a counting rule changed here is reported and asked about, never applied quietly.</t>
        </is>
      </c>
    </row>
    <row r="3">
      <c r="B3" s="12" t="inlineStr">
        <is>
          <t>PROJECT</t>
        </is>
      </c>
      <c r="C3" s="12" t="n"/>
    </row>
    <row r="4">
      <c r="B4" s="7" t="inlineStr">
        <is>
          <t>Project name</t>
        </is>
      </c>
      <c r="C4" s="4" t="inlineStr">
        <is>
          <t>Northwind Demo Release</t>
        </is>
      </c>
    </row>
    <row r="5">
      <c r="B5" s="7" t="inlineStr">
        <is>
          <t>Client</t>
        </is>
      </c>
      <c r="C5" s="4" t="n"/>
    </row>
    <row r="6">
      <c r="B6" s="7" t="inlineStr">
        <is>
          <t>PMS project ID</t>
        </is>
      </c>
      <c r="C6" s="4" t="n">
        <v>101</v>
      </c>
    </row>
    <row r="7">
      <c r="B7" s="7" t="inlineStr">
        <is>
          <t>PMS KPI page</t>
        </is>
      </c>
      <c r="C7" s="4" t="n"/>
    </row>
    <row r="8">
      <c r="B8" s="7" t="inlineStr">
        <is>
          <t>Issue tracker</t>
        </is>
      </c>
      <c r="C8" s="4" t="inlineStr">
        <is>
          <t>Asana</t>
        </is>
      </c>
    </row>
    <row r="9">
      <c r="B9" s="7" t="inlineStr">
        <is>
          <t>Tracker board</t>
        </is>
      </c>
      <c r="C9" s="13" t="inlineStr">
        <is>
          <t>Open</t>
        </is>
      </c>
    </row>
    <row r="10">
      <c r="B10" s="7" t="inlineStr">
        <is>
          <t>Engagement type</t>
        </is>
      </c>
      <c r="C10" s="4" t="inlineStr">
        <is>
          <t>Project</t>
        </is>
      </c>
    </row>
    <row r="11">
      <c r="B11" s="7" t="inlineStr">
        <is>
          <t>Period type</t>
        </is>
      </c>
      <c r="C11" s="4" t="inlineStr">
        <is>
          <t>Delivery cycle</t>
        </is>
      </c>
    </row>
    <row r="12">
      <c r="B12" s="7" t="inlineStr">
        <is>
          <t>Sources read</t>
        </is>
      </c>
      <c r="C12" s="4" t="inlineStr">
        <is>
          <t>Issue tracker, Estimates, Timeline</t>
        </is>
      </c>
    </row>
    <row r="13">
      <c r="B13" s="7" t="inlineStr">
        <is>
          <t>Deliverables are counted as</t>
        </is>
      </c>
      <c r="C13" s="4" t="inlineStr">
        <is>
          <t>Board cards (one card, one deliverable)</t>
        </is>
      </c>
    </row>
    <row r="14">
      <c r="B14" s="7" t="inlineStr">
        <is>
          <t>Calculated as of</t>
        </is>
      </c>
      <c r="C14" s="14" t="n">
        <v>46283</v>
      </c>
    </row>
    <row r="15">
      <c r="B15" s="7" t="inlineStr">
        <is>
          <t>Prepared by</t>
        </is>
      </c>
      <c r="C15" s="4" t="inlineStr">
        <is>
          <t>Project Lead</t>
        </is>
      </c>
    </row>
    <row r="17">
      <c r="B17" s="12" t="inlineStr">
        <is>
          <t>COUNTING RULES</t>
        </is>
      </c>
      <c r="C17" s="12" t="n"/>
      <c r="D17" s="12" t="n"/>
    </row>
    <row r="18">
      <c r="B18" s="7" t="inlineStr">
        <is>
          <t>Velocity unit</t>
        </is>
      </c>
      <c r="C18" s="15" t="inlineStr">
        <is>
          <t>Estimated Hours</t>
        </is>
      </c>
      <c r="D18" s="16" t="inlineStr">
        <is>
          <t>What Velocity adds up for delivered tasks and additional requests.</t>
        </is>
      </c>
    </row>
    <row r="19">
      <c r="B19" s="7" t="inlineStr">
        <is>
          <t>Hours counted in Velocity</t>
        </is>
      </c>
      <c r="C19" s="15" t="inlineStr">
        <is>
          <t>Dev + QA</t>
        </is>
      </c>
      <c r="D19" s="16" t="inlineStr">
        <is>
          <t>Dev + QA adds an item's QA hours once the item is closed.</t>
        </is>
      </c>
    </row>
    <row r="20">
      <c r="B20" s="7" t="inlineStr">
        <is>
          <t>Count observations as defects?</t>
        </is>
      </c>
      <c r="C20" s="15" t="inlineStr">
        <is>
          <t>No</t>
        </is>
      </c>
      <c r="D20" s="16" t="inlineStr">
        <is>
          <t>No = only Bug rows count in Defect Rate.</t>
        </is>
      </c>
    </row>
    <row r="21">
      <c r="B21" s="7" t="inlineStr">
        <is>
          <t>Count improvements as defects?</t>
        </is>
      </c>
      <c r="C21" s="15" t="inlineStr">
        <is>
          <t>No</t>
        </is>
      </c>
      <c r="D21" s="16" t="n"/>
    </row>
    <row r="22">
      <c r="B22" s="7" t="inlineStr">
        <is>
          <t>Count pre-existing defects in Defect Rate?</t>
        </is>
      </c>
      <c r="C22" s="15" t="inlineStr">
        <is>
          <t>No</t>
        </is>
      </c>
      <c r="D22" s="16" t="inlineStr">
        <is>
          <t>Pre-existing = already in the product before this work.</t>
        </is>
      </c>
    </row>
    <row r="23">
      <c r="B23" s="7" t="inlineStr">
        <is>
          <t>Count post-release defects in Defect Rate?</t>
        </is>
      </c>
      <c r="C23" s="15" t="inlineStr">
        <is>
          <t>Yes</t>
        </is>
      </c>
      <c r="D23" s="16" t="inlineStr">
        <is>
          <t>Post-release defects always count in Escaped Defect Rate.</t>
        </is>
      </c>
    </row>
    <row r="24">
      <c r="B24" s="7" t="inlineStr">
        <is>
          <t>A commitment is met on</t>
        </is>
      </c>
      <c r="C24" s="15" t="inlineStr">
        <is>
          <t>Delivery</t>
        </is>
      </c>
      <c r="D24" s="16" t="inlineStr">
        <is>
          <t>Delivery = the item reached its delivery event by the date. Handover = the build reached the client by it.</t>
        </is>
      </c>
    </row>
    <row r="25">
      <c r="B25" s="7" t="inlineStr">
        <is>
          <t>CR Rate is measured against</t>
        </is>
      </c>
      <c r="C25" s="15" t="inlineStr">
        <is>
          <t>This period</t>
        </is>
      </c>
      <c r="D25" s="16" t="inlineStr">
        <is>
          <t>A period made only of additional requests is always measured against the whole project.</t>
        </is>
      </c>
    </row>
    <row r="27">
      <c r="B27" s="12" t="inlineStr">
        <is>
          <t>KPI TARGETS  (source and any local review override are shown beside each target)</t>
        </is>
      </c>
      <c r="C27" s="12" t="n"/>
      <c r="D27" s="12" t="n"/>
      <c r="E27" s="12" t="n"/>
      <c r="F27" s="12" t="n"/>
      <c r="G27" s="12" t="n"/>
      <c r="H27" s="12" t="n"/>
      <c r="I27" s="12" t="n"/>
    </row>
    <row r="28">
      <c r="B28" s="5" t="inlineStr">
        <is>
          <t>KPI</t>
        </is>
      </c>
      <c r="C28" s="5" t="inlineStr">
        <is>
          <t>Unit</t>
        </is>
      </c>
      <c r="D28" s="5" t="inlineStr">
        <is>
          <t>PMS KPI ID</t>
        </is>
      </c>
      <c r="E28" s="5" t="inlineStr">
        <is>
          <t>Type</t>
        </is>
      </c>
      <c r="F28" s="5" t="inlineStr">
        <is>
          <t>Target</t>
        </is>
      </c>
      <c r="G28" s="5" t="inlineStr">
        <is>
          <t>Formula (PMS definition)</t>
        </is>
      </c>
      <c r="H28" s="5" t="inlineStr">
        <is>
          <t>How this sheet counts it</t>
        </is>
      </c>
      <c r="I28" s="5" t="inlineStr">
        <is>
          <t>Target comes from</t>
        </is>
      </c>
    </row>
    <row r="29">
      <c r="B29" s="7" t="inlineStr">
        <is>
          <t>Velocity</t>
        </is>
      </c>
      <c r="C29" s="17" t="inlineStr">
        <is>
          <t>Per Config</t>
        </is>
      </c>
      <c r="D29" s="17" t="n">
        <v>9</v>
      </c>
      <c r="E29" s="17" t="inlineStr">
        <is>
          <t>Min</t>
        </is>
      </c>
      <c r="F29" s="17" t="n">
        <v>10</v>
      </c>
      <c r="G29" s="4" t="inlineStr">
        <is>
          <t>Total work completed in the period (story points / hours).</t>
        </is>
      </c>
      <c r="H29" s="4" t="inlineStr">
        <is>
          <t>Hours (or story points) of Task Register rows that are not Excluded and have a Delivered date, plus the period's team-level effort.</t>
        </is>
      </c>
      <c r="I29" s="4" t="inlineStr">
        <is>
          <t>bundled fallback, not read from PMS</t>
        </is>
      </c>
    </row>
    <row r="30">
      <c r="B30" s="7" t="inlineStr">
        <is>
          <t>Task Comprehension</t>
        </is>
      </c>
      <c r="C30" s="17" t="inlineStr">
        <is>
          <t>%</t>
        </is>
      </c>
      <c r="D30" s="17" t="n">
        <v>1</v>
      </c>
      <c r="E30" s="17" t="inlineStr">
        <is>
          <t>Min</t>
        </is>
      </c>
      <c r="F30" s="17" t="n">
        <v>80</v>
      </c>
      <c r="G30" s="4" t="inlineStr">
        <is>
          <t>Understood task count / Total task count</t>
        </is>
      </c>
      <c r="H30" s="4" t="inlineStr">
        <is>
          <t>Rows with Understood = Yes ÷ rows with Understood = Yes or No. A row with no answer is left out.</t>
        </is>
      </c>
      <c r="I30" s="4" t="inlineStr">
        <is>
          <t>bundled fallback, not read from PMS</t>
        </is>
      </c>
    </row>
    <row r="31">
      <c r="B31" s="7" t="inlineStr">
        <is>
          <t>Client Expectation</t>
        </is>
      </c>
      <c r="C31" s="17" t="inlineStr">
        <is>
          <t>%</t>
        </is>
      </c>
      <c r="D31" s="17" t="n">
        <v>2</v>
      </c>
      <c r="E31" s="17" t="inlineStr">
        <is>
          <t>Min</t>
        </is>
      </c>
      <c r="F31" s="17" t="n">
        <v>90</v>
      </c>
      <c r="G31" s="4" t="inlineStr">
        <is>
          <t>On-time delivered (client-expected) / Total client-expected tasks</t>
        </is>
      </c>
      <c r="H31" s="4" t="inlineStr">
        <is>
          <t>Client-expected rows that met their date ÷ client-expected rows that are due. Pending rows wait.</t>
        </is>
      </c>
      <c r="I31" s="4" t="inlineStr">
        <is>
          <t>bundled fallback, not read from PMS</t>
        </is>
      </c>
    </row>
    <row r="32">
      <c r="B32" s="7" t="inlineStr">
        <is>
          <t>Delivery Commitment</t>
        </is>
      </c>
      <c r="C32" s="17" t="inlineStr">
        <is>
          <t>%</t>
        </is>
      </c>
      <c r="D32" s="17" t="n">
        <v>4</v>
      </c>
      <c r="E32" s="17" t="inlineStr">
        <is>
          <t>Min</t>
        </is>
      </c>
      <c r="F32" s="17" t="n">
        <v>100</v>
      </c>
      <c r="G32" s="4" t="inlineStr">
        <is>
          <t>Delivered on time (committed) / Total team-committed tasks</t>
        </is>
      </c>
      <c r="H32" s="4" t="inlineStr">
        <is>
          <t>Rows the team committed to that met the date ÷ committed rows that are due. Uncommitted rows are left out.</t>
        </is>
      </c>
      <c r="I32" s="4" t="inlineStr">
        <is>
          <t>bundled fallback, not read from PMS</t>
        </is>
      </c>
    </row>
    <row r="33">
      <c r="B33" s="7" t="inlineStr">
        <is>
          <t>Defect Rate</t>
        </is>
      </c>
      <c r="C33" s="17" t="inlineStr">
        <is>
          <t>%</t>
        </is>
      </c>
      <c r="D33" s="17" t="n">
        <v>5</v>
      </c>
      <c r="E33" s="17" t="inlineStr">
        <is>
          <t>Max</t>
        </is>
      </c>
      <c r="F33" s="17" t="n">
        <v>15</v>
      </c>
      <c r="G33" s="4" t="inlineStr">
        <is>
          <t>Number of defects found / Total task count</t>
        </is>
      </c>
      <c r="H33" s="4" t="inlineStr">
        <is>
          <t>Defect Register rows with Counts in Defect Rate = Yes ÷ delivered Task Register rows.</t>
        </is>
      </c>
      <c r="I33" s="4" t="inlineStr">
        <is>
          <t>bundled fallback, not read from PMS</t>
        </is>
      </c>
    </row>
    <row r="34">
      <c r="B34" s="7" t="inlineStr">
        <is>
          <t>Escaped Defect Rate</t>
        </is>
      </c>
      <c r="C34" s="17" t="inlineStr">
        <is>
          <t>%</t>
        </is>
      </c>
      <c r="D34" s="17" t="n">
        <v>8</v>
      </c>
      <c r="E34" s="17" t="inlineStr">
        <is>
          <t>Max</t>
        </is>
      </c>
      <c r="F34" s="17" t="n">
        <v>5</v>
      </c>
      <c r="G34" s="4" t="inlineStr">
        <is>
          <t>Defects found after release / Total defects (before + after release)</t>
        </is>
      </c>
      <c r="H34" s="4" t="inlineStr">
        <is>
          <t>Post-release reports that were not rejected ÷ all reports that were not rejected. Blank until the period is handed over.</t>
        </is>
      </c>
      <c r="I34" s="4" t="inlineStr">
        <is>
          <t>bundled fallback, not read from PMS</t>
        </is>
      </c>
    </row>
    <row r="35">
      <c r="B35" s="7" t="inlineStr">
        <is>
          <t>Defect Rejection Rate</t>
        </is>
      </c>
      <c r="C35" s="17" t="inlineStr">
        <is>
          <t>%</t>
        </is>
      </c>
      <c r="D35" s="17" t="n">
        <v>7</v>
      </c>
      <c r="E35" s="17" t="inlineStr">
        <is>
          <t>Max</t>
        </is>
      </c>
      <c r="F35" s="17" t="n">
        <v>15</v>
      </c>
      <c r="G35" s="4" t="inlineStr">
        <is>
          <t>Rejected defects / Total reported defects</t>
        </is>
      </c>
      <c r="H35" s="4" t="inlineStr">
        <is>
          <t>Defect Register rows with Rejected = Yes ÷ all Defect Register rows.</t>
        </is>
      </c>
      <c r="I35" s="4" t="inlineStr">
        <is>
          <t>bundled fallback, not read from PMS</t>
        </is>
      </c>
    </row>
    <row r="36">
      <c r="B36" s="7" t="inlineStr">
        <is>
          <t>Rework Rate</t>
        </is>
      </c>
      <c r="C36" s="17" t="inlineStr">
        <is>
          <t>%</t>
        </is>
      </c>
      <c r="D36" s="17" t="n">
        <v>6</v>
      </c>
      <c r="E36" s="17" t="inlineStr">
        <is>
          <t>Max</t>
        </is>
      </c>
      <c r="F36" s="17" t="n">
        <v>10</v>
      </c>
      <c r="G36" s="4" t="inlineStr">
        <is>
          <t>Tasks reopened / Total tasks completed</t>
        </is>
      </c>
      <c r="H36" s="4" t="inlineStr">
        <is>
          <t>Reopening events after the configured close boundary ÷ completed rows assessed for rework.</t>
        </is>
      </c>
      <c r="I36" s="4" t="inlineStr">
        <is>
          <t>bundled fallback, not read from PMS</t>
        </is>
      </c>
    </row>
    <row r="37">
      <c r="B37" s="7" t="inlineStr">
        <is>
          <t>CR Rate</t>
        </is>
      </c>
      <c r="C37" s="17" t="inlineStr">
        <is>
          <t>%</t>
        </is>
      </c>
      <c r="D37" s="17" t="n">
        <v>3</v>
      </c>
      <c r="E37" s="17" t="inlineStr">
        <is>
          <t>Max</t>
        </is>
      </c>
      <c r="F37" s="17" t="n">
        <v>20</v>
      </c>
      <c r="G37" s="4" t="inlineStr">
        <is>
          <t>CR count / Initial task count</t>
        </is>
      </c>
      <c r="H37" s="4" t="inlineStr">
        <is>
          <t>Rows with Item Type = CR ÷ rows with Item Type = Task (the whole project's, when the period has none).</t>
        </is>
      </c>
      <c r="I37" s="4" t="inlineStr">
        <is>
          <t>bundled fallback, not read from PMS</t>
        </is>
      </c>
    </row>
    <row r="39">
      <c r="B39" s="3" t="inlineStr">
        <is>
          <t>PROJECT DATES  (used when a period or a task has no date of its own)</t>
        </is>
      </c>
      <c r="C39" s="3" t="n"/>
      <c r="D39" s="3" t="n"/>
    </row>
    <row r="40">
      <c r="B40" s="7" t="inlineStr">
        <is>
          <t>Client expected date</t>
        </is>
      </c>
      <c r="C40" s="18" t="n">
        <v>46276</v>
      </c>
      <c r="D40" s="16" t="inlineStr">
        <is>
          <t>What the client expects: the planned handover, a client deadline, or a date agreed again after the client added work.</t>
        </is>
      </c>
    </row>
    <row r="41">
      <c r="B41" s="7" t="inlineStr">
        <is>
          <t>Team commitment date</t>
        </is>
      </c>
      <c r="C41" s="18" t="n">
        <v>46276</v>
      </c>
      <c r="D41" s="16" t="inlineStr">
        <is>
          <t>What the team agreed to deliver by: the milestone date or a date negotiated later.</t>
        </is>
      </c>
    </row>
    <row r="42">
      <c r="B42" s="7" t="inlineStr">
        <is>
          <t>Client date check</t>
        </is>
      </c>
      <c r="C42" s="15" t="inlineStr">
        <is>
          <t>Delivery</t>
        </is>
      </c>
      <c r="D42" s="16" t="inlineStr">
        <is>
          <t>Handover = met when the build reached the client by the date. Delivery = met when the item itself was delivered by it.</t>
        </is>
      </c>
    </row>
    <row r="43">
      <c r="B43" s="7" t="inlineStr">
        <is>
          <t>Why these dates</t>
        </is>
      </c>
      <c r="C43" s="15" t="inlineStr">
        <is>
          <t>Northwind's Q3 feature freeze is 09/11. No new features after it; bug fixes are allowed until 09/25.</t>
        </is>
      </c>
      <c r="D43" s="16" t="inlineStr">
        <is>
          <t>Short reason, with where it was agreed.</t>
        </is>
      </c>
    </row>
  </sheetData>
  <dataValidations count="9">
    <dataValidation sqref="C18" showDropDown="0" showInputMessage="0" showErrorMessage="0" allowBlank="1" type="list">
      <formula1>"Estimated Hours,Story Points"</formula1>
    </dataValidation>
    <dataValidation sqref="C19" showDropDown="0" showInputMessage="0" showErrorMessage="0" allowBlank="1" type="list">
      <formula1>"Dev only,Dev + QA"</formula1>
    </dataValidation>
    <dataValidation sqref="C20" showDropDown="0" showInputMessage="0" showErrorMessage="0" allowBlank="1" type="list">
      <formula1>"Yes,No"</formula1>
    </dataValidation>
    <dataValidation sqref="C21" showDropDown="0" showInputMessage="0" showErrorMessage="0" allowBlank="1" type="list">
      <formula1>"Yes,No"</formula1>
    </dataValidation>
    <dataValidation sqref="C22" showDropDown="0" showInputMessage="0" showErrorMessage="0" allowBlank="1" type="list">
      <formula1>"Yes,No"</formula1>
    </dataValidation>
    <dataValidation sqref="C23" showDropDown="0" showInputMessage="0" showErrorMessage="0" allowBlank="1" type="list">
      <formula1>"Yes,No"</formula1>
    </dataValidation>
    <dataValidation sqref="C24" showDropDown="0" showInputMessage="0" showErrorMessage="0" allowBlank="1" type="list">
      <formula1>"Delivery,Handover"</formula1>
    </dataValidation>
    <dataValidation sqref="C25" showDropDown="0" showInputMessage="0" showErrorMessage="0" allowBlank="1" type="list">
      <formula1>"This period,Whole project"</formula1>
    </dataValidation>
    <dataValidation sqref="C42" showDropDown="0" showInputMessage="0" showErrorMessage="0" allowBlank="1" type="list">
      <formula1>"Handover,Delivery"</formula1>
    </dataValidation>
  </dataValidations>
  <hyperlinks>
    <hyperlink xmlns:r="http://schemas.openxmlformats.org/officeDocument/2006/relationships" ref="C9" r:id="rId1"/>
  </hyperlinks>
  <pageMargins left="0.75" right="0.75" top="1" bottom="1" header="0.5" footer="0.5"/>
</worksheet>
</file>

<file path=xl/worksheets/sheet4.xml><?xml version="1.0" encoding="utf-8"?>
<worksheet xmlns="http://schemas.openxmlformats.org/spreadsheetml/2006/main">
  <sheetPr>
    <tabColor rgb="002F5597"/>
    <outlinePr summaryBelow="1" summaryRight="1"/>
    <pageSetUpPr/>
  </sheetPr>
  <dimension ref="A1:N4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12" customWidth="1" min="3" max="3"/>
    <col width="12" customWidth="1" min="4" max="4"/>
    <col width="34" customWidth="1" min="5" max="5"/>
    <col width="14" customWidth="1" min="6" max="6"/>
    <col width="14" customWidth="1" min="7" max="7"/>
    <col width="14" customWidth="1" min="8" max="8"/>
    <col width="12" customWidth="1" min="9" max="9"/>
    <col width="14" customWidth="1" min="10" max="10"/>
    <col width="70" customWidth="1" min="11" max="11"/>
    <col width="40" customWidth="1" min="12" max="12"/>
    <col width="12" customWidth="1" min="13" max="13"/>
    <col width="12" customWidth="1" min="14" max="14"/>
  </cols>
  <sheetData>
    <row r="1">
      <c r="B1" s="1" t="inlineStr">
        <is>
          <t>Periods</t>
        </is>
      </c>
    </row>
    <row r="2">
      <c r="B2" s="2" t="inlineStr">
        <is>
          <t>One row per KPI period. Leave a date empty to use the project date from Config.</t>
        </is>
      </c>
    </row>
    <row r="4" ht="31.5" customHeight="1">
      <c r="A4" s="5" t="inlineStr">
        <is>
          <t>#</t>
        </is>
      </c>
      <c r="B4" s="5" t="inlineStr">
        <is>
          <t>Period Name (max 25)</t>
        </is>
      </c>
      <c r="C4" s="5" t="inlineStr">
        <is>
          <t>Start</t>
        </is>
      </c>
      <c r="D4" s="5" t="inlineStr">
        <is>
          <t>End</t>
        </is>
      </c>
      <c r="E4" s="5" t="inlineStr">
        <is>
          <t>PMS Description (auto)</t>
        </is>
      </c>
      <c r="F4" s="5" t="inlineStr">
        <is>
          <t>Client Expected Date</t>
        </is>
      </c>
      <c r="G4" s="5" t="inlineStr">
        <is>
          <t>Commitment Date</t>
        </is>
      </c>
      <c r="H4" s="5" t="inlineStr">
        <is>
          <t>Handed Over On</t>
        </is>
      </c>
      <c r="I4" s="5" t="inlineStr">
        <is>
          <t>PMS Period ID</t>
        </is>
      </c>
      <c r="J4" s="5" t="inlineStr">
        <is>
          <t>Pushed to PMS On</t>
        </is>
      </c>
      <c r="K4" s="5" t="inlineStr">
        <is>
          <t>Notes</t>
        </is>
      </c>
      <c r="L4" s="5" t="inlineStr">
        <is>
          <t>Original Plan</t>
        </is>
      </c>
      <c r="M4" s="5" t="inlineStr">
        <is>
          <t>Team-level Effort (h)</t>
        </is>
      </c>
      <c r="N4" s="5" t="inlineStr">
        <is>
          <t>Client Date Check</t>
        </is>
      </c>
    </row>
    <row r="5">
      <c r="A5" s="6">
        <f>IF(B5="","",ROW()-4)</f>
        <v/>
      </c>
      <c r="B5" s="15" t="inlineStr">
        <is>
          <t>Initial Scope</t>
        </is>
      </c>
      <c r="C5" s="18" t="n">
        <v>46204</v>
      </c>
      <c r="D5" s="18" t="n">
        <v>46246</v>
      </c>
      <c r="E5" s="11" t="inlineStr">
        <is>
          <t>07/01 to 08/12, 7 planned tasks + 2 Additional Requests, handed over 08/12</t>
        </is>
      </c>
      <c r="F5" s="15" t="n"/>
      <c r="G5" s="15" t="n"/>
      <c r="H5" s="18" t="n">
        <v>46246</v>
      </c>
      <c r="I5" s="19" t="n">
        <v>501</v>
      </c>
      <c r="J5" s="4" t="n"/>
      <c r="K5" s="15" t="inlineStr">
        <is>
          <t>The planned work plus the additions approved on 07/31 and 08/10, handed over together.</t>
        </is>
      </c>
      <c r="L5" s="15" t="inlineStr">
        <is>
          <t>Build to QA 07/20, handover 07/29 (plan).</t>
        </is>
      </c>
      <c r="M5" s="20" t="n">
        <v>40</v>
      </c>
      <c r="N5" s="15" t="n"/>
    </row>
    <row r="6">
      <c r="A6" s="6">
        <f>IF(B6="","",ROW()-4)</f>
        <v/>
      </c>
      <c r="B6" s="15" t="inlineStr">
        <is>
          <t>Additional Requests 1</t>
        </is>
      </c>
      <c r="C6" s="18" t="n">
        <v>46261</v>
      </c>
      <c r="D6" s="18" t="n">
        <v>46295</v>
      </c>
      <c r="E6" s="11" t="inlineStr">
        <is>
          <t>08/27 to 09/30, 2 Additional Requests</t>
        </is>
      </c>
      <c r="F6" s="15" t="n"/>
      <c r="G6" s="15" t="n"/>
      <c r="H6" s="15" t="n"/>
      <c r="I6" s="19" t="n">
        <v>502</v>
      </c>
      <c r="J6" s="4" t="n"/>
      <c r="K6" s="15" t="inlineStr">
        <is>
          <t>The two additional requests approved on 08/28.</t>
        </is>
      </c>
      <c r="L6" s="15" t="inlineStr">
        <is>
          <t>Handover 09/16 (timeline).</t>
        </is>
      </c>
      <c r="M6" s="20" t="n"/>
      <c r="N6" s="15" t="n"/>
    </row>
    <row r="7">
      <c r="A7" s="6">
        <f>IF(B7="","",ROW()-4)</f>
        <v/>
      </c>
      <c r="B7" s="15" t="n"/>
      <c r="C7" s="15" t="n"/>
      <c r="D7" s="15" t="n"/>
      <c r="E7" s="11" t="n"/>
      <c r="F7" s="15" t="n"/>
      <c r="G7" s="15" t="n"/>
      <c r="H7" s="15" t="n"/>
      <c r="I7" s="19" t="n"/>
      <c r="J7" s="4" t="n"/>
      <c r="K7" s="15" t="n"/>
      <c r="L7" s="15" t="n"/>
      <c r="M7" s="20" t="n"/>
      <c r="N7" s="15" t="n"/>
    </row>
    <row r="8">
      <c r="A8" s="6">
        <f>IF(B8="","",ROW()-4)</f>
        <v/>
      </c>
      <c r="B8" s="15" t="n"/>
      <c r="C8" s="15" t="n"/>
      <c r="D8" s="15" t="n"/>
      <c r="E8" s="11" t="n"/>
      <c r="F8" s="15" t="n"/>
      <c r="G8" s="15" t="n"/>
      <c r="H8" s="15" t="n"/>
      <c r="I8" s="19" t="n"/>
      <c r="J8" s="4" t="n"/>
      <c r="K8" s="15" t="n"/>
      <c r="L8" s="15" t="n"/>
      <c r="M8" s="20" t="n"/>
      <c r="N8" s="15" t="n"/>
    </row>
    <row r="9">
      <c r="A9" s="6">
        <f>IF(B9="","",ROW()-4)</f>
        <v/>
      </c>
      <c r="B9" s="15" t="n"/>
      <c r="C9" s="15" t="n"/>
      <c r="D9" s="15" t="n"/>
      <c r="E9" s="11" t="n"/>
      <c r="F9" s="15" t="n"/>
      <c r="G9" s="15" t="n"/>
      <c r="H9" s="15" t="n"/>
      <c r="I9" s="19" t="n"/>
      <c r="J9" s="4" t="n"/>
      <c r="K9" s="15" t="n"/>
      <c r="L9" s="15" t="n"/>
      <c r="M9" s="20" t="n"/>
      <c r="N9" s="15" t="n"/>
    </row>
    <row r="10">
      <c r="A10" s="6">
        <f>IF(B10="","",ROW()-4)</f>
        <v/>
      </c>
      <c r="B10" s="15" t="n"/>
      <c r="C10" s="15" t="n"/>
      <c r="D10" s="15" t="n"/>
      <c r="E10" s="11" t="n"/>
      <c r="F10" s="15" t="n"/>
      <c r="G10" s="15" t="n"/>
      <c r="H10" s="15" t="n"/>
      <c r="I10" s="19" t="n"/>
      <c r="J10" s="4" t="n"/>
      <c r="K10" s="15" t="n"/>
      <c r="L10" s="15" t="n"/>
      <c r="M10" s="20" t="n"/>
      <c r="N10" s="15" t="n"/>
    </row>
    <row r="11">
      <c r="A11" s="6">
        <f>IF(B11="","",ROW()-4)</f>
        <v/>
      </c>
      <c r="B11" s="15" t="n"/>
      <c r="C11" s="15" t="n"/>
      <c r="D11" s="15" t="n"/>
      <c r="E11" s="11" t="n"/>
      <c r="F11" s="15" t="n"/>
      <c r="G11" s="15" t="n"/>
      <c r="H11" s="15" t="n"/>
      <c r="I11" s="19" t="n"/>
      <c r="J11" s="4" t="n"/>
      <c r="K11" s="15" t="n"/>
      <c r="L11" s="15" t="n"/>
      <c r="M11" s="20" t="n"/>
      <c r="N11" s="15" t="n"/>
    </row>
    <row r="12">
      <c r="A12" s="6">
        <f>IF(B12="","",ROW()-4)</f>
        <v/>
      </c>
      <c r="B12" s="15" t="n"/>
      <c r="C12" s="15" t="n"/>
      <c r="D12" s="15" t="n"/>
      <c r="E12" s="11" t="n"/>
      <c r="F12" s="15" t="n"/>
      <c r="G12" s="15" t="n"/>
      <c r="H12" s="15" t="n"/>
      <c r="I12" s="19" t="n"/>
      <c r="J12" s="4" t="n"/>
      <c r="K12" s="15" t="n"/>
      <c r="L12" s="15" t="n"/>
      <c r="M12" s="20" t="n"/>
      <c r="N12" s="15" t="n"/>
    </row>
    <row r="13">
      <c r="A13" s="6">
        <f>IF(B13="","",ROW()-4)</f>
        <v/>
      </c>
      <c r="B13" s="15" t="n"/>
      <c r="C13" s="15" t="n"/>
      <c r="D13" s="15" t="n"/>
      <c r="E13" s="11" t="n"/>
      <c r="F13" s="15" t="n"/>
      <c r="G13" s="15" t="n"/>
      <c r="H13" s="15" t="n"/>
      <c r="I13" s="19" t="n"/>
      <c r="J13" s="4" t="n"/>
      <c r="K13" s="15" t="n"/>
      <c r="L13" s="15" t="n"/>
      <c r="M13" s="20" t="n"/>
      <c r="N13" s="15" t="n"/>
    </row>
    <row r="14">
      <c r="A14" s="6">
        <f>IF(B14="","",ROW()-4)</f>
        <v/>
      </c>
      <c r="B14" s="15" t="n"/>
      <c r="C14" s="15" t="n"/>
      <c r="D14" s="15" t="n"/>
      <c r="E14" s="11" t="n"/>
      <c r="F14" s="15" t="n"/>
      <c r="G14" s="15" t="n"/>
      <c r="H14" s="15" t="n"/>
      <c r="I14" s="19" t="n"/>
      <c r="J14" s="4" t="n"/>
      <c r="K14" s="15" t="n"/>
      <c r="L14" s="15" t="n"/>
      <c r="M14" s="20" t="n"/>
      <c r="N14" s="15" t="n"/>
    </row>
    <row r="15">
      <c r="A15" s="6">
        <f>IF(B15="","",ROW()-4)</f>
        <v/>
      </c>
      <c r="B15" s="15" t="n"/>
      <c r="C15" s="15" t="n"/>
      <c r="D15" s="15" t="n"/>
      <c r="E15" s="11" t="n"/>
      <c r="F15" s="15" t="n"/>
      <c r="G15" s="15" t="n"/>
      <c r="H15" s="15" t="n"/>
      <c r="I15" s="19" t="n"/>
      <c r="J15" s="4" t="n"/>
      <c r="K15" s="15" t="n"/>
      <c r="L15" s="15" t="n"/>
      <c r="M15" s="20" t="n"/>
      <c r="N15" s="15" t="n"/>
    </row>
    <row r="16">
      <c r="A16" s="6">
        <f>IF(B16="","",ROW()-4)</f>
        <v/>
      </c>
      <c r="B16" s="15" t="n"/>
      <c r="C16" s="15" t="n"/>
      <c r="D16" s="15" t="n"/>
      <c r="E16" s="11" t="n"/>
      <c r="F16" s="15" t="n"/>
      <c r="G16" s="15" t="n"/>
      <c r="H16" s="15" t="n"/>
      <c r="I16" s="19" t="n"/>
      <c r="J16" s="4" t="n"/>
      <c r="K16" s="15" t="n"/>
      <c r="L16" s="15" t="n"/>
      <c r="M16" s="20" t="n"/>
      <c r="N16" s="15" t="n"/>
    </row>
    <row r="17">
      <c r="A17" s="6">
        <f>IF(B17="","",ROW()-4)</f>
        <v/>
      </c>
      <c r="B17" s="15" t="n"/>
      <c r="C17" s="15" t="n"/>
      <c r="D17" s="15" t="n"/>
      <c r="E17" s="11" t="n"/>
      <c r="F17" s="15" t="n"/>
      <c r="G17" s="15" t="n"/>
      <c r="H17" s="15" t="n"/>
      <c r="I17" s="19" t="n"/>
      <c r="J17" s="4" t="n"/>
      <c r="K17" s="15" t="n"/>
      <c r="L17" s="15" t="n"/>
      <c r="M17" s="20" t="n"/>
      <c r="N17" s="15" t="n"/>
    </row>
    <row r="18">
      <c r="A18" s="6">
        <f>IF(B18="","",ROW()-4)</f>
        <v/>
      </c>
      <c r="B18" s="15" t="n"/>
      <c r="C18" s="15" t="n"/>
      <c r="D18" s="15" t="n"/>
      <c r="E18" s="11" t="n"/>
      <c r="F18" s="15" t="n"/>
      <c r="G18" s="15" t="n"/>
      <c r="H18" s="15" t="n"/>
      <c r="I18" s="19" t="n"/>
      <c r="J18" s="4" t="n"/>
      <c r="K18" s="15" t="n"/>
      <c r="L18" s="15" t="n"/>
      <c r="M18" s="20" t="n"/>
      <c r="N18" s="15" t="n"/>
    </row>
    <row r="19">
      <c r="A19" s="6">
        <f>IF(B19="","",ROW()-4)</f>
        <v/>
      </c>
      <c r="B19" s="15" t="n"/>
      <c r="C19" s="15" t="n"/>
      <c r="D19" s="15" t="n"/>
      <c r="E19" s="11" t="n"/>
      <c r="F19" s="15" t="n"/>
      <c r="G19" s="15" t="n"/>
      <c r="H19" s="15" t="n"/>
      <c r="I19" s="19" t="n"/>
      <c r="J19" s="4" t="n"/>
      <c r="K19" s="15" t="n"/>
      <c r="L19" s="15" t="n"/>
      <c r="M19" s="20" t="n"/>
      <c r="N19" s="15" t="n"/>
    </row>
    <row r="20">
      <c r="A20" s="6">
        <f>IF(B20="","",ROW()-4)</f>
        <v/>
      </c>
      <c r="B20" s="15" t="n"/>
      <c r="C20" s="15" t="n"/>
      <c r="D20" s="15" t="n"/>
      <c r="E20" s="11" t="n"/>
      <c r="F20" s="15" t="n"/>
      <c r="G20" s="15" t="n"/>
      <c r="H20" s="15" t="n"/>
      <c r="I20" s="19" t="n"/>
      <c r="J20" s="4" t="n"/>
      <c r="K20" s="15" t="n"/>
      <c r="L20" s="15" t="n"/>
      <c r="M20" s="20" t="n"/>
      <c r="N20" s="15" t="n"/>
    </row>
    <row r="21">
      <c r="A21" s="6">
        <f>IF(B21="","",ROW()-4)</f>
        <v/>
      </c>
      <c r="B21" s="15" t="n"/>
      <c r="C21" s="15" t="n"/>
      <c r="D21" s="15" t="n"/>
      <c r="E21" s="11" t="n"/>
      <c r="F21" s="15" t="n"/>
      <c r="G21" s="15" t="n"/>
      <c r="H21" s="15" t="n"/>
      <c r="I21" s="19" t="n"/>
      <c r="J21" s="4" t="n"/>
      <c r="K21" s="15" t="n"/>
      <c r="L21" s="15" t="n"/>
      <c r="M21" s="20" t="n"/>
      <c r="N21" s="15" t="n"/>
    </row>
    <row r="22">
      <c r="A22" s="6">
        <f>IF(B22="","",ROW()-4)</f>
        <v/>
      </c>
      <c r="B22" s="15" t="n"/>
      <c r="C22" s="15" t="n"/>
      <c r="D22" s="15" t="n"/>
      <c r="E22" s="11" t="n"/>
      <c r="F22" s="15" t="n"/>
      <c r="G22" s="15" t="n"/>
      <c r="H22" s="15" t="n"/>
      <c r="I22" s="19" t="n"/>
      <c r="J22" s="4" t="n"/>
      <c r="K22" s="15" t="n"/>
      <c r="L22" s="15" t="n"/>
      <c r="M22" s="20" t="n"/>
      <c r="N22" s="15" t="n"/>
    </row>
    <row r="23">
      <c r="A23" s="6">
        <f>IF(B23="","",ROW()-4)</f>
        <v/>
      </c>
      <c r="B23" s="15" t="n"/>
      <c r="C23" s="15" t="n"/>
      <c r="D23" s="15" t="n"/>
      <c r="E23" s="11" t="n"/>
      <c r="F23" s="15" t="n"/>
      <c r="G23" s="15" t="n"/>
      <c r="H23" s="15" t="n"/>
      <c r="I23" s="19" t="n"/>
      <c r="J23" s="4" t="n"/>
      <c r="K23" s="15" t="n"/>
      <c r="L23" s="15" t="n"/>
      <c r="M23" s="20" t="n"/>
      <c r="N23" s="15" t="n"/>
    </row>
    <row r="24">
      <c r="A24" s="6">
        <f>IF(B24="","",ROW()-4)</f>
        <v/>
      </c>
      <c r="B24" s="15" t="n"/>
      <c r="C24" s="15" t="n"/>
      <c r="D24" s="15" t="n"/>
      <c r="E24" s="11" t="n"/>
      <c r="F24" s="15" t="n"/>
      <c r="G24" s="15" t="n"/>
      <c r="H24" s="15" t="n"/>
      <c r="I24" s="19" t="n"/>
      <c r="J24" s="4" t="n"/>
      <c r="K24" s="15" t="n"/>
      <c r="L24" s="15" t="n"/>
      <c r="M24" s="20" t="n"/>
      <c r="N24" s="15" t="n"/>
    </row>
    <row r="25">
      <c r="A25" s="6">
        <f>IF(B25="","",ROW()-4)</f>
        <v/>
      </c>
      <c r="B25" s="15" t="n"/>
      <c r="C25" s="15" t="n"/>
      <c r="D25" s="15" t="n"/>
      <c r="E25" s="11" t="n"/>
      <c r="F25" s="15" t="n"/>
      <c r="G25" s="15" t="n"/>
      <c r="H25" s="15" t="n"/>
      <c r="I25" s="19" t="n"/>
      <c r="J25" s="4" t="n"/>
      <c r="K25" s="15" t="n"/>
      <c r="L25" s="15" t="n"/>
      <c r="M25" s="20" t="n"/>
      <c r="N25" s="15" t="n"/>
    </row>
    <row r="26">
      <c r="A26" s="6">
        <f>IF(B26="","",ROW()-4)</f>
        <v/>
      </c>
      <c r="B26" s="15" t="n"/>
      <c r="C26" s="15" t="n"/>
      <c r="D26" s="15" t="n"/>
      <c r="E26" s="11" t="n"/>
      <c r="F26" s="15" t="n"/>
      <c r="G26" s="15" t="n"/>
      <c r="H26" s="15" t="n"/>
      <c r="I26" s="19" t="n"/>
      <c r="J26" s="4" t="n"/>
      <c r="K26" s="15" t="n"/>
      <c r="L26" s="15" t="n"/>
      <c r="M26" s="20" t="n"/>
      <c r="N26" s="15" t="n"/>
    </row>
    <row r="27">
      <c r="A27" s="6">
        <f>IF(B27="","",ROW()-4)</f>
        <v/>
      </c>
      <c r="B27" s="15" t="n"/>
      <c r="C27" s="15" t="n"/>
      <c r="D27" s="15" t="n"/>
      <c r="E27" s="11" t="n"/>
      <c r="F27" s="15" t="n"/>
      <c r="G27" s="15" t="n"/>
      <c r="H27" s="15" t="n"/>
      <c r="I27" s="19" t="n"/>
      <c r="J27" s="4" t="n"/>
      <c r="K27" s="15" t="n"/>
      <c r="L27" s="15" t="n"/>
      <c r="M27" s="20" t="n"/>
      <c r="N27" s="15" t="n"/>
    </row>
    <row r="28">
      <c r="A28" s="6">
        <f>IF(B28="","",ROW()-4)</f>
        <v/>
      </c>
      <c r="B28" s="15" t="n"/>
      <c r="C28" s="15" t="n"/>
      <c r="D28" s="15" t="n"/>
      <c r="E28" s="11" t="n"/>
      <c r="F28" s="15" t="n"/>
      <c r="G28" s="15" t="n"/>
      <c r="H28" s="15" t="n"/>
      <c r="I28" s="19" t="n"/>
      <c r="J28" s="4" t="n"/>
      <c r="K28" s="15" t="n"/>
      <c r="L28" s="15" t="n"/>
      <c r="M28" s="20" t="n"/>
      <c r="N28" s="15" t="n"/>
    </row>
    <row r="29">
      <c r="A29" s="6">
        <f>IF(B29="","",ROW()-4)</f>
        <v/>
      </c>
      <c r="B29" s="15" t="n"/>
      <c r="C29" s="15" t="n"/>
      <c r="D29" s="15" t="n"/>
      <c r="E29" s="11" t="n"/>
      <c r="F29" s="15" t="n"/>
      <c r="G29" s="15" t="n"/>
      <c r="H29" s="15" t="n"/>
      <c r="I29" s="19" t="n"/>
      <c r="J29" s="4" t="n"/>
      <c r="K29" s="15" t="n"/>
      <c r="L29" s="15" t="n"/>
      <c r="M29" s="20" t="n"/>
      <c r="N29" s="15" t="n"/>
    </row>
    <row r="30">
      <c r="A30" s="6">
        <f>IF(B30="","",ROW()-4)</f>
        <v/>
      </c>
      <c r="B30" s="15" t="n"/>
      <c r="C30" s="15" t="n"/>
      <c r="D30" s="15" t="n"/>
      <c r="E30" s="11" t="n"/>
      <c r="F30" s="15" t="n"/>
      <c r="G30" s="15" t="n"/>
      <c r="H30" s="15" t="n"/>
      <c r="I30" s="19" t="n"/>
      <c r="J30" s="4" t="n"/>
      <c r="K30" s="15" t="n"/>
      <c r="L30" s="15" t="n"/>
      <c r="M30" s="20" t="n"/>
      <c r="N30" s="15" t="n"/>
    </row>
    <row r="31">
      <c r="A31" s="6">
        <f>IF(B31="","",ROW()-4)</f>
        <v/>
      </c>
      <c r="B31" s="15" t="n"/>
      <c r="C31" s="15" t="n"/>
      <c r="D31" s="15" t="n"/>
      <c r="E31" s="11" t="n"/>
      <c r="F31" s="15" t="n"/>
      <c r="G31" s="15" t="n"/>
      <c r="H31" s="15" t="n"/>
      <c r="I31" s="19" t="n"/>
      <c r="J31" s="4" t="n"/>
      <c r="K31" s="15" t="n"/>
      <c r="L31" s="15" t="n"/>
      <c r="M31" s="20" t="n"/>
      <c r="N31" s="15" t="n"/>
    </row>
    <row r="32">
      <c r="A32" s="6">
        <f>IF(B32="","",ROW()-4)</f>
        <v/>
      </c>
      <c r="B32" s="15" t="n"/>
      <c r="C32" s="15" t="n"/>
      <c r="D32" s="15" t="n"/>
      <c r="E32" s="11" t="n"/>
      <c r="F32" s="15" t="n"/>
      <c r="G32" s="15" t="n"/>
      <c r="H32" s="15" t="n"/>
      <c r="I32" s="19" t="n"/>
      <c r="J32" s="4" t="n"/>
      <c r="K32" s="15" t="n"/>
      <c r="L32" s="15" t="n"/>
      <c r="M32" s="20" t="n"/>
      <c r="N32" s="15" t="n"/>
    </row>
    <row r="33">
      <c r="A33" s="6">
        <f>IF(B33="","",ROW()-4)</f>
        <v/>
      </c>
      <c r="B33" s="15" t="n"/>
      <c r="C33" s="15" t="n"/>
      <c r="D33" s="15" t="n"/>
      <c r="E33" s="11" t="n"/>
      <c r="F33" s="15" t="n"/>
      <c r="G33" s="15" t="n"/>
      <c r="H33" s="15" t="n"/>
      <c r="I33" s="19" t="n"/>
      <c r="J33" s="4" t="n"/>
      <c r="K33" s="15" t="n"/>
      <c r="L33" s="15" t="n"/>
      <c r="M33" s="20" t="n"/>
      <c r="N33" s="15" t="n"/>
    </row>
    <row r="34">
      <c r="A34" s="6">
        <f>IF(B34="","",ROW()-4)</f>
        <v/>
      </c>
      <c r="B34" s="15" t="n"/>
      <c r="C34" s="15" t="n"/>
      <c r="D34" s="15" t="n"/>
      <c r="E34" s="11" t="n"/>
      <c r="F34" s="15" t="n"/>
      <c r="G34" s="15" t="n"/>
      <c r="H34" s="15" t="n"/>
      <c r="I34" s="19" t="n"/>
      <c r="J34" s="4" t="n"/>
      <c r="K34" s="15" t="n"/>
      <c r="L34" s="15" t="n"/>
      <c r="M34" s="20" t="n"/>
      <c r="N34" s="15" t="n"/>
    </row>
    <row r="35">
      <c r="A35" s="6">
        <f>IF(B35="","",ROW()-4)</f>
        <v/>
      </c>
      <c r="B35" s="15" t="n"/>
      <c r="C35" s="15" t="n"/>
      <c r="D35" s="15" t="n"/>
      <c r="E35" s="11" t="n"/>
      <c r="F35" s="15" t="n"/>
      <c r="G35" s="15" t="n"/>
      <c r="H35" s="15" t="n"/>
      <c r="I35" s="19" t="n"/>
      <c r="J35" s="4" t="n"/>
      <c r="K35" s="15" t="n"/>
      <c r="L35" s="15" t="n"/>
      <c r="M35" s="20" t="n"/>
      <c r="N35" s="15" t="n"/>
    </row>
    <row r="36">
      <c r="A36" s="6">
        <f>IF(B36="","",ROW()-4)</f>
        <v/>
      </c>
      <c r="B36" s="15" t="n"/>
      <c r="C36" s="15" t="n"/>
      <c r="D36" s="15" t="n"/>
      <c r="E36" s="11" t="n"/>
      <c r="F36" s="15" t="n"/>
      <c r="G36" s="15" t="n"/>
      <c r="H36" s="15" t="n"/>
      <c r="I36" s="19" t="n"/>
      <c r="J36" s="4" t="n"/>
      <c r="K36" s="15" t="n"/>
      <c r="L36" s="15" t="n"/>
      <c r="M36" s="20" t="n"/>
      <c r="N36" s="15" t="n"/>
    </row>
    <row r="37">
      <c r="A37" s="6">
        <f>IF(B37="","",ROW()-4)</f>
        <v/>
      </c>
      <c r="B37" s="15" t="n"/>
      <c r="C37" s="15" t="n"/>
      <c r="D37" s="15" t="n"/>
      <c r="E37" s="11" t="n"/>
      <c r="F37" s="15" t="n"/>
      <c r="G37" s="15" t="n"/>
      <c r="H37" s="15" t="n"/>
      <c r="I37" s="19" t="n"/>
      <c r="J37" s="4" t="n"/>
      <c r="K37" s="15" t="n"/>
      <c r="L37" s="15" t="n"/>
      <c r="M37" s="20" t="n"/>
      <c r="N37" s="15" t="n"/>
    </row>
    <row r="38">
      <c r="A38" s="6">
        <f>IF(B38="","",ROW()-4)</f>
        <v/>
      </c>
      <c r="B38" s="15" t="n"/>
      <c r="C38" s="15" t="n"/>
      <c r="D38" s="15" t="n"/>
      <c r="E38" s="11" t="n"/>
      <c r="F38" s="15" t="n"/>
      <c r="G38" s="15" t="n"/>
      <c r="H38" s="15" t="n"/>
      <c r="I38" s="19" t="n"/>
      <c r="J38" s="4" t="n"/>
      <c r="K38" s="15" t="n"/>
      <c r="L38" s="15" t="n"/>
      <c r="M38" s="20" t="n"/>
      <c r="N38" s="15" t="n"/>
    </row>
    <row r="39">
      <c r="A39" s="6">
        <f>IF(B39="","",ROW()-4)</f>
        <v/>
      </c>
      <c r="B39" s="15" t="n"/>
      <c r="C39" s="15" t="n"/>
      <c r="D39" s="15" t="n"/>
      <c r="E39" s="11" t="n"/>
      <c r="F39" s="15" t="n"/>
      <c r="G39" s="15" t="n"/>
      <c r="H39" s="15" t="n"/>
      <c r="I39" s="19" t="n"/>
      <c r="J39" s="4" t="n"/>
      <c r="K39" s="15" t="n"/>
      <c r="L39" s="15" t="n"/>
      <c r="M39" s="20" t="n"/>
      <c r="N39" s="15" t="n"/>
    </row>
    <row r="40">
      <c r="A40" s="6">
        <f>IF(B40="","",ROW()-4)</f>
        <v/>
      </c>
      <c r="B40" s="15" t="n"/>
      <c r="C40" s="15" t="n"/>
      <c r="D40" s="15" t="n"/>
      <c r="E40" s="11" t="n"/>
      <c r="F40" s="15" t="n"/>
      <c r="G40" s="15" t="n"/>
      <c r="H40" s="15" t="n"/>
      <c r="I40" s="19" t="n"/>
      <c r="J40" s="4" t="n"/>
      <c r="K40" s="15" t="n"/>
      <c r="L40" s="15" t="n"/>
      <c r="M40" s="20" t="n"/>
      <c r="N40" s="15" t="n"/>
    </row>
    <row r="41">
      <c r="A41" s="6">
        <f>IF(B41="","",ROW()-4)</f>
        <v/>
      </c>
      <c r="B41" s="15" t="n"/>
      <c r="C41" s="15" t="n"/>
      <c r="D41" s="15" t="n"/>
      <c r="E41" s="11" t="n"/>
      <c r="F41" s="15" t="n"/>
      <c r="G41" s="15" t="n"/>
      <c r="H41" s="15" t="n"/>
      <c r="I41" s="19" t="n"/>
      <c r="J41" s="4" t="n"/>
      <c r="K41" s="15" t="n"/>
      <c r="L41" s="15" t="n"/>
      <c r="M41" s="20" t="n"/>
      <c r="N41" s="15" t="n"/>
    </row>
    <row r="42">
      <c r="A42" s="6">
        <f>IF(B42="","",ROW()-4)</f>
        <v/>
      </c>
      <c r="B42" s="15" t="n"/>
      <c r="C42" s="15" t="n"/>
      <c r="D42" s="15" t="n"/>
      <c r="E42" s="11" t="n"/>
      <c r="F42" s="15" t="n"/>
      <c r="G42" s="15" t="n"/>
      <c r="H42" s="15" t="n"/>
      <c r="I42" s="19" t="n"/>
      <c r="J42" s="4" t="n"/>
      <c r="K42" s="15" t="n"/>
      <c r="L42" s="15" t="n"/>
      <c r="M42" s="20" t="n"/>
      <c r="N42" s="15" t="n"/>
    </row>
    <row r="43">
      <c r="A43" s="6">
        <f>IF(B43="","",ROW()-4)</f>
        <v/>
      </c>
      <c r="B43" s="15" t="n"/>
      <c r="C43" s="15" t="n"/>
      <c r="D43" s="15" t="n"/>
      <c r="E43" s="11" t="n"/>
      <c r="F43" s="15" t="n"/>
      <c r="G43" s="15" t="n"/>
      <c r="H43" s="15" t="n"/>
      <c r="I43" s="19" t="n"/>
      <c r="J43" s="4" t="n"/>
      <c r="K43" s="15" t="n"/>
      <c r="L43" s="15" t="n"/>
      <c r="M43" s="20" t="n"/>
      <c r="N43" s="15" t="n"/>
    </row>
    <row r="44">
      <c r="A44" s="6">
        <f>IF(B44="","",ROW()-4)</f>
        <v/>
      </c>
      <c r="B44" s="15" t="n"/>
      <c r="C44" s="15" t="n"/>
      <c r="D44" s="15" t="n"/>
      <c r="E44" s="11" t="n"/>
      <c r="F44" s="15" t="n"/>
      <c r="G44" s="15" t="n"/>
      <c r="H44" s="15" t="n"/>
      <c r="I44" s="19" t="n"/>
      <c r="J44" s="4" t="n"/>
      <c r="K44" s="15" t="n"/>
      <c r="L44" s="15" t="n"/>
      <c r="M44" s="20" t="n"/>
      <c r="N44" s="15" t="n"/>
    </row>
    <row r="45">
      <c r="A45" s="6">
        <f>IF(B45="","",ROW()-4)</f>
        <v/>
      </c>
      <c r="B45" s="15" t="n"/>
      <c r="C45" s="15" t="n"/>
      <c r="D45" s="15" t="n"/>
      <c r="E45" s="11" t="n"/>
      <c r="F45" s="15" t="n"/>
      <c r="G45" s="15" t="n"/>
      <c r="H45" s="15" t="n"/>
      <c r="I45" s="19" t="n"/>
      <c r="J45" s="4" t="n"/>
      <c r="K45" s="15" t="n"/>
      <c r="L45" s="15" t="n"/>
      <c r="M45" s="20" t="n"/>
      <c r="N45" s="15" t="n"/>
    </row>
    <row r="46">
      <c r="A46" s="6">
        <f>IF(B46="","",ROW()-4)</f>
        <v/>
      </c>
      <c r="B46" s="15" t="n"/>
      <c r="C46" s="15" t="n"/>
      <c r="D46" s="15" t="n"/>
      <c r="E46" s="11" t="n"/>
      <c r="F46" s="15" t="n"/>
      <c r="G46" s="15" t="n"/>
      <c r="H46" s="15" t="n"/>
      <c r="I46" s="19" t="n"/>
      <c r="J46" s="4" t="n"/>
      <c r="K46" s="15" t="n"/>
      <c r="L46" s="15" t="n"/>
      <c r="M46" s="20" t="n"/>
      <c r="N46" s="15" t="n"/>
    </row>
  </sheetData>
  <dataValidations count="1">
    <dataValidation sqref="N5:N46" showDropDown="0" showInputMessage="0" showErrorMessage="0" allowBlank="1" type="list">
      <formula1>"Handover,Delivery"</formula1>
    </dataValidation>
  </dataValidations>
  <pageMargins left="0.75" right="0.75" top="1" bottom="1" header="0.5" footer="0.5"/>
</worksheet>
</file>

<file path=xl/worksheets/sheet5.xml><?xml version="1.0" encoding="utf-8"?>
<worksheet xmlns="http://schemas.openxmlformats.org/spreadsheetml/2006/main">
  <sheetPr>
    <tabColor rgb="001F3864"/>
    <outlinePr summaryBelow="1" summaryRight="1"/>
    <pageSetUpPr/>
  </sheetPr>
  <dimension ref="A1:AP58"/>
  <sheetViews>
    <sheetView showGridLines="0" workbookViewId="0">
      <pane xSplit="5" ySplit="3" topLeftCell="F4" activePane="bottomRight" state="frozen"/>
      <selection pane="topRight"/>
      <selection pane="bottomLeft"/>
      <selection pane="bottomRight" activeCell="A1" sqref="A1"/>
    </sheetView>
  </sheetViews>
  <sheetFormatPr baseColWidth="8" defaultRowHeight="15"/>
  <cols>
    <col width="4" customWidth="1" min="1" max="1"/>
    <col width="14" customWidth="1" min="2" max="2"/>
    <col width="11" customWidth="1" min="3" max="3"/>
    <col width="8" customWidth="1" min="4" max="4"/>
    <col width="48" customWidth="1" min="5" max="5"/>
    <col width="10" customWidth="1" min="6" max="6"/>
    <col width="10" customWidth="1" min="7" max="7"/>
    <col width="9" customWidth="1" min="8" max="8"/>
    <col width="8" customWidth="1" min="9" max="9"/>
    <col width="30" customWidth="1" min="10" max="10"/>
    <col width="18" customWidth="1" min="11" max="11"/>
    <col width="11" customWidth="1" min="12" max="12"/>
    <col width="11" customWidth="1" min="13" max="13"/>
    <col width="11" customWidth="1" min="14" max="14"/>
    <col width="8" customWidth="1" min="15" max="15"/>
    <col width="11" customWidth="1" min="16" max="16"/>
    <col width="40" customWidth="1" min="17" max="17"/>
    <col width="9" customWidth="1" min="18" max="18"/>
    <col width="10" customWidth="1" min="19" max="19"/>
    <col width="11" customWidth="1" min="20" max="20"/>
    <col width="10" customWidth="1" min="21" max="21"/>
    <col width="10" customWidth="1" min="22" max="22"/>
    <col width="11" customWidth="1" min="23" max="23"/>
    <col width="10" customWidth="1" min="24" max="24"/>
    <col width="9" customWidth="1" min="25" max="25"/>
    <col width="9" customWidth="1" min="26" max="26"/>
    <col width="34" customWidth="1" min="27" max="27"/>
    <col width="9" customWidth="1" min="28" max="28"/>
    <col width="44" customWidth="1" min="29" max="29"/>
    <col width="8" customWidth="1" min="30" max="30"/>
    <col width="8" customWidth="1" min="31" max="31"/>
    <col width="16" customWidth="1" min="32" max="32"/>
    <col width="40" customWidth="1" min="33" max="33"/>
    <col hidden="1" width="11" customWidth="1" min="34" max="34"/>
    <col hidden="1" width="10" customWidth="1" min="35" max="35"/>
    <col hidden="1" width="10" customWidth="1" min="36" max="36"/>
    <col hidden="1" width="10" customWidth="1" min="37" max="37"/>
    <col width="12" customWidth="1" min="38" max="38"/>
    <col width="22" customWidth="1" min="39" max="39"/>
    <col width="15" customWidth="1" min="40" max="40"/>
    <col width="15" customWidth="1" min="41" max="41"/>
    <col width="14" customWidth="1" min="42" max="42"/>
  </cols>
  <sheetData>
    <row r="1">
      <c r="B1" s="1" t="inlineStr">
        <is>
          <t>Task Register (15 rows)</t>
        </is>
      </c>
    </row>
    <row r="2">
      <c r="B2" s="2" t="inlineStr">
        <is>
          <t>Every planned task and additional request, plus excluded cards so nothing looks missing. Yellow = you can change it; grey = worked out by formula; Check says how a row was decided.</t>
        </is>
      </c>
    </row>
    <row r="3" ht="46.5" customHeight="1">
      <c r="A3" s="5" t="inlineStr">
        <is>
          <t>#</t>
        </is>
      </c>
      <c r="B3" s="5" t="inlineStr">
        <is>
          <t>Period</t>
        </is>
      </c>
      <c r="C3" s="5" t="inlineStr">
        <is>
          <t>Ticket</t>
        </is>
      </c>
      <c r="D3" s="5" t="inlineStr">
        <is>
          <t>Link</t>
        </is>
      </c>
      <c r="E3" s="5" t="inlineStr">
        <is>
          <t>Title</t>
        </is>
      </c>
      <c r="F3" s="5" t="inlineStr">
        <is>
          <t>Item Type</t>
        </is>
      </c>
      <c r="G3" s="5" t="inlineStr">
        <is>
          <t>Planned (initial scope)?</t>
        </is>
      </c>
      <c r="H3" s="5" t="inlineStr">
        <is>
          <t>Est. Hours (counted)</t>
        </is>
      </c>
      <c r="I3" s="5" t="inlineStr">
        <is>
          <t>Story Points</t>
        </is>
      </c>
      <c r="J3" s="5" t="inlineStr">
        <is>
          <t>Hours Source</t>
        </is>
      </c>
      <c r="K3" s="5" t="inlineStr">
        <is>
          <t>Assignee</t>
        </is>
      </c>
      <c r="L3" s="5" t="inlineStr">
        <is>
          <t>Created</t>
        </is>
      </c>
      <c r="M3" s="5" t="inlineStr">
        <is>
          <t>Delivered</t>
        </is>
      </c>
      <c r="N3" s="5" t="inlineStr">
        <is>
          <t>Closed</t>
        </is>
      </c>
      <c r="O3" s="5" t="inlineStr">
        <is>
          <t>Status</t>
        </is>
      </c>
      <c r="P3" s="5" t="inlineStr">
        <is>
          <t>Understood w/o Client?</t>
        </is>
      </c>
      <c r="Q3" s="5" t="inlineStr">
        <is>
          <t>Comprehension Evidence</t>
        </is>
      </c>
      <c r="R3" s="5" t="inlineStr">
        <is>
          <t>Comprehension Link</t>
        </is>
      </c>
      <c r="S3" s="5" t="inlineStr">
        <is>
          <t>Client-Expected?</t>
        </is>
      </c>
      <c r="T3" s="5" t="inlineStr">
        <is>
          <t>Client Expected Date</t>
        </is>
      </c>
      <c r="U3" s="5" t="inlineStr">
        <is>
          <t>Met Client Date?</t>
        </is>
      </c>
      <c r="V3" s="5" t="inlineStr">
        <is>
          <t>Team Committed?</t>
        </is>
      </c>
      <c r="W3" s="5" t="inlineStr">
        <is>
          <t>Commitment Date</t>
        </is>
      </c>
      <c r="X3" s="5" t="inlineStr">
        <is>
          <t>Met Commitment?</t>
        </is>
      </c>
      <c r="Y3" s="5" t="inlineStr">
        <is>
          <t>Reopened after closing?</t>
        </is>
      </c>
      <c r="Z3" s="5" t="inlineStr">
        <is>
          <t>Reopening Events</t>
        </is>
      </c>
      <c r="AA3" s="5" t="inlineStr">
        <is>
          <t>Rework Evidence</t>
        </is>
      </c>
      <c r="AB3" s="5" t="inlineStr">
        <is>
          <t>Rework Link</t>
        </is>
      </c>
      <c r="AC3" s="5" t="inlineStr">
        <is>
          <t>Remarks and sources</t>
        </is>
      </c>
      <c r="AD3" s="5" t="inlineStr">
        <is>
          <t>Dev Hours</t>
        </is>
      </c>
      <c r="AE3" s="5" t="inlineStr">
        <is>
          <t>QA Hours</t>
        </is>
      </c>
      <c r="AF3" s="5" t="inlineStr">
        <is>
          <t>Board Column</t>
        </is>
      </c>
      <c r="AG3" s="5" t="inlineStr">
        <is>
          <t>Check (how this row was decided)</t>
        </is>
      </c>
      <c r="AH3" s="5" t="inlineStr">
        <is>
          <t>Period handover</t>
        </is>
      </c>
      <c r="AI3" s="5" t="inlineStr">
        <is>
          <t>Client date check</t>
        </is>
      </c>
      <c r="AJ3" s="5" t="inlineStr">
        <is>
          <t>Row ID</t>
        </is>
      </c>
      <c r="AK3" s="5" t="inlineStr">
        <is>
          <t>Delivery evidence missing</t>
        </is>
      </c>
      <c r="AL3" s="5" t="inlineStr">
        <is>
          <t>Group estimate only</t>
        </is>
      </c>
      <c r="AM3" s="5" t="inlineStr">
        <is>
          <t>Estimate held on group</t>
        </is>
      </c>
      <c r="AN3" s="5" t="inlineStr">
        <is>
          <t>Group estimate not yet delivered</t>
        </is>
      </c>
      <c r="AO3" s="5" t="inlineStr">
        <is>
          <t>Required estimate missing</t>
        </is>
      </c>
      <c r="AP3" s="5" t="inlineStr">
        <is>
          <t>Rework close boundary</t>
        </is>
      </c>
    </row>
    <row r="4">
      <c r="A4" s="6">
        <f>IF(B4="","",ROW()-3)</f>
        <v/>
      </c>
      <c r="B4" s="15" t="inlineStr">
        <is>
          <t>Initial Scope</t>
        </is>
      </c>
      <c r="C4" s="4" t="inlineStr">
        <is>
          <t>NW-101</t>
        </is>
      </c>
      <c r="D4" s="13" t="inlineStr">
        <is>
          <t>Open</t>
        </is>
      </c>
      <c r="E4" s="4" t="inlineStr">
        <is>
          <t>NW-101 Booking rules for shared rooms</t>
        </is>
      </c>
      <c r="F4" s="15" t="inlineStr">
        <is>
          <t>Task</t>
        </is>
      </c>
      <c r="G4" s="15" t="inlineStr">
        <is>
          <t>Yes</t>
        </is>
      </c>
      <c r="H4" s="8">
        <f>IF(OR(B4="",AND(AD4="",AE4="")),"",N(AD4)+IF(AND(Config!$C$19="Dev + QA",N4&lt;&gt;""),N(AE4),0))</f>
        <v/>
      </c>
      <c r="I4" s="20" t="n"/>
      <c r="J4" s="4" t="inlineStr">
        <is>
          <t>Project plan: dev 26.5 + QA 8</t>
        </is>
      </c>
      <c r="K4" s="4" t="inlineStr">
        <is>
          <t>Sample Developer</t>
        </is>
      </c>
      <c r="L4" s="14" t="n">
        <v>46192</v>
      </c>
      <c r="M4" s="18" t="n">
        <v>46219</v>
      </c>
      <c r="N4" s="18" t="n">
        <v>46239</v>
      </c>
      <c r="O4" s="6">
        <f>IF(B4="","",IF(M4&lt;&gt;"","Done","Open"))</f>
        <v/>
      </c>
      <c r="P4" s="15" t="inlineStr">
        <is>
          <t>No</t>
        </is>
      </c>
      <c r="Q4" s="4" t="inlineStr">
        <is>
          <t>went to 'Awaiting Feedback' on 07/08</t>
        </is>
      </c>
      <c r="R4" s="13" t="inlineStr">
        <is>
          <t>Open</t>
        </is>
      </c>
      <c r="S4" s="15" t="inlineStr">
        <is>
          <t>Yes</t>
        </is>
      </c>
      <c r="T4" s="18" t="n">
        <v>46276</v>
      </c>
      <c r="U4" s="6">
        <f>IF(OR(B4="",F4="Excluded",S4&lt;&gt;"Yes",T4="",AND(AK4="Yes",M4="")),"",IF(N(IF(AI4="Delivery",M4,IF(OR(M4="",N(AH4)=0),"",MAX(M4,AH4))))=0,IF(Config!$C$14&lt;=T4,"Pending","No"),IF(IF(AI4="Delivery",M4,IF(OR(M4="",N(AH4)=0),"",MAX(M4,AH4)))&lt;=T4,"Yes","No")))</f>
        <v/>
      </c>
      <c r="V4" s="15" t="inlineStr">
        <is>
          <t>Yes</t>
        </is>
      </c>
      <c r="W4" s="18" t="n">
        <v>46276</v>
      </c>
      <c r="X4" s="6">
        <f>IF(OR(B4="",F4="Excluded",V4&lt;&gt;"Yes",W4="",AND(AK4="Yes",M4="")),"",IF(N(IF(Config!$C$24="Handover",IF(OR(M4="",N(AH4)=0),"",MAX(M4,AH4)),M4))=0,IF(Config!$C$14&lt;=W4,"Pending","No"),IF(IF(Config!$C$24="Handover",IF(OR(M4="",N(AH4)=0),"",MAX(M4,AH4)),M4)&lt;=W4,"Yes","No")))</f>
        <v/>
      </c>
      <c r="Y4" s="15" t="inlineStr">
        <is>
          <t>No</t>
        </is>
      </c>
      <c r="Z4" s="21" t="n">
        <v>0</v>
      </c>
      <c r="AA4" s="4" t="inlineStr">
        <is>
          <t>Failed QA on 07/22 while still being tested for the first time, so it is not counted as rework (the task was never closed and reopened)</t>
        </is>
      </c>
      <c r="AB4" s="4" t="n"/>
      <c r="AC4" s="4" t="inlineStr">
        <is>
          <t>Plan: Milestone 1. Original plan: 07/29</t>
        </is>
      </c>
      <c r="AD4" s="20" t="n">
        <v>26.5</v>
      </c>
      <c r="AE4" s="20" t="n">
        <v>8</v>
      </c>
      <c r="AF4" s="4" t="inlineStr">
        <is>
          <t>Closed</t>
        </is>
      </c>
      <c r="AG4" s="4" t="inlineStr">
        <is>
          <t>understood: went to 'Awaiting Feedback' on 07/08 (not confirmed)</t>
        </is>
      </c>
      <c r="AH4" s="11">
        <f>IF(B4="","",IFERROR(INDEX(Periods!$H$5:$H$200,MATCH($B4,Periods!$B$5:$B$200,0)),""))</f>
        <v/>
      </c>
      <c r="AI4" s="11">
        <f>IF(B4="","",IF(COUNTIFS(Periods!$B$5:$B$200,$B4,Periods!$N$5:$N$200,"Handover")&gt;0,"Handover",IF(COUNTIFS(Periods!$B$5:$B$200,$B4,Periods!$N$5:$N$200,"Delivery")&gt;0,"Delivery",Config!$C$42)))</f>
        <v/>
      </c>
      <c r="AJ4" s="11" t="inlineStr">
        <is>
          <t>1200000000000001</t>
        </is>
      </c>
      <c r="AK4" s="4" t="inlineStr">
        <is>
          <t>No</t>
        </is>
      </c>
      <c r="AL4" s="4" t="inlineStr">
        <is>
          <t>No</t>
        </is>
      </c>
      <c r="AM4" s="4" t="inlineStr">
        <is>
          <t>No group</t>
        </is>
      </c>
      <c r="AN4" s="11" t="n"/>
      <c r="AO4" s="11">
        <f>IF(OR(B4="",N(M4)=0),"No",IF(Config!$C$18="Story Points",IF(AND(F4&lt;&gt;"Excluded",LEN(I4)=0),"Yes","No"),IF(AND(OR(AND(F4&lt;&gt;"Excluded",AM4="No group"),AL4="Yes"),OR(LEN(AD4)=0,AND(Config!$C$19="Dev + QA",N(N4)&gt;0,LEN(AE4)=0))),"Yes","No")))</f>
        <v/>
      </c>
      <c r="AP4" s="14" t="n">
        <v>46239</v>
      </c>
    </row>
    <row r="5">
      <c r="A5" s="6">
        <f>IF(B5="","",ROW()-3)</f>
        <v/>
      </c>
      <c r="B5" s="15" t="inlineStr">
        <is>
          <t>Initial Scope</t>
        </is>
      </c>
      <c r="C5" s="4" t="inlineStr">
        <is>
          <t>NW-102</t>
        </is>
      </c>
      <c r="D5" s="13" t="inlineStr">
        <is>
          <t>Open</t>
        </is>
      </c>
      <c r="E5" s="4" t="inlineStr">
        <is>
          <t>NW-102 Conflict warning on double booking</t>
        </is>
      </c>
      <c r="F5" s="15" t="inlineStr">
        <is>
          <t>Task</t>
        </is>
      </c>
      <c r="G5" s="15" t="inlineStr">
        <is>
          <t>Yes</t>
        </is>
      </c>
      <c r="H5" s="8">
        <f>IF(OR(B5="",AND(AD5="",AE5="")),"",N(AD5)+IF(AND(Config!$C$19="Dev + QA",N5&lt;&gt;""),N(AE5),0))</f>
        <v/>
      </c>
      <c r="I5" s="20" t="n"/>
      <c r="J5" s="4" t="inlineStr">
        <is>
          <t>Project plan: dev 21.5 + QA 6</t>
        </is>
      </c>
      <c r="K5" s="4" t="inlineStr">
        <is>
          <t>Sample Developer</t>
        </is>
      </c>
      <c r="L5" s="14" t="n">
        <v>46192</v>
      </c>
      <c r="M5" s="18" t="n">
        <v>46217</v>
      </c>
      <c r="N5" s="18" t="n">
        <v>46239</v>
      </c>
      <c r="O5" s="6">
        <f>IF(B5="","",IF(M5&lt;&gt;"","Done","Open"))</f>
        <v/>
      </c>
      <c r="P5" s="15" t="inlineStr">
        <is>
          <t>Yes</t>
        </is>
      </c>
      <c r="Q5" s="4" t="n"/>
      <c r="R5" s="4" t="n"/>
      <c r="S5" s="15" t="inlineStr">
        <is>
          <t>Yes</t>
        </is>
      </c>
      <c r="T5" s="18" t="n">
        <v>46276</v>
      </c>
      <c r="U5" s="6">
        <f>IF(OR(B5="",F5="Excluded",S5&lt;&gt;"Yes",T5="",AND(AK5="Yes",M5="")),"",IF(N(IF(AI5="Delivery",M5,IF(OR(M5="",N(AH5)=0),"",MAX(M5,AH5))))=0,IF(Config!$C$14&lt;=T5,"Pending","No"),IF(IF(AI5="Delivery",M5,IF(OR(M5="",N(AH5)=0),"",MAX(M5,AH5)))&lt;=T5,"Yes","No")))</f>
        <v/>
      </c>
      <c r="V5" s="15" t="inlineStr">
        <is>
          <t>Yes</t>
        </is>
      </c>
      <c r="W5" s="18" t="n">
        <v>46276</v>
      </c>
      <c r="X5" s="6">
        <f>IF(OR(B5="",F5="Excluded",V5&lt;&gt;"Yes",W5="",AND(AK5="Yes",M5="")),"",IF(N(IF(Config!$C$24="Handover",IF(OR(M5="",N(AH5)=0),"",MAX(M5,AH5)),M5))=0,IF(Config!$C$14&lt;=W5,"Pending","No"),IF(IF(Config!$C$24="Handover",IF(OR(M5="",N(AH5)=0),"",MAX(M5,AH5)),M5)&lt;=W5,"Yes","No")))</f>
        <v/>
      </c>
      <c r="Y5" s="15" t="inlineStr">
        <is>
          <t>No</t>
        </is>
      </c>
      <c r="Z5" s="21" t="n">
        <v>0</v>
      </c>
      <c r="AA5" s="4" t="n"/>
      <c r="AB5" s="4" t="n"/>
      <c r="AC5" s="4" t="inlineStr">
        <is>
          <t>Plan: Milestone 1. Original plan: 07/29</t>
        </is>
      </c>
      <c r="AD5" s="20" t="n">
        <v>21.5</v>
      </c>
      <c r="AE5" s="20" t="n">
        <v>6</v>
      </c>
      <c r="AF5" s="4" t="inlineStr">
        <is>
          <t>Closed</t>
        </is>
      </c>
      <c r="AG5" s="4" t="n"/>
      <c r="AH5" s="11">
        <f>IF(B5="","",IFERROR(INDEX(Periods!$H$5:$H$200,MATCH($B5,Periods!$B$5:$B$200,0)),""))</f>
        <v/>
      </c>
      <c r="AI5" s="11">
        <f>IF(B5="","",IF(COUNTIFS(Periods!$B$5:$B$200,$B5,Periods!$N$5:$N$200,"Handover")&gt;0,"Handover",IF(COUNTIFS(Periods!$B$5:$B$200,$B5,Periods!$N$5:$N$200,"Delivery")&gt;0,"Delivery",Config!$C$42)))</f>
        <v/>
      </c>
      <c r="AJ5" s="11" t="inlineStr">
        <is>
          <t>1200000000000002</t>
        </is>
      </c>
      <c r="AK5" s="4" t="inlineStr">
        <is>
          <t>No</t>
        </is>
      </c>
      <c r="AL5" s="4" t="inlineStr">
        <is>
          <t>No</t>
        </is>
      </c>
      <c r="AM5" s="4" t="inlineStr">
        <is>
          <t>No group</t>
        </is>
      </c>
      <c r="AN5" s="11" t="n"/>
      <c r="AO5" s="11">
        <f>IF(OR(B5="",N(M5)=0),"No",IF(Config!$C$18="Story Points",IF(AND(F5&lt;&gt;"Excluded",LEN(I5)=0),"Yes","No"),IF(AND(OR(AND(F5&lt;&gt;"Excluded",AM5="No group"),AL5="Yes"),OR(LEN(AD5)=0,AND(Config!$C$19="Dev + QA",N(N5)&gt;0,LEN(AE5)=0))),"Yes","No")))</f>
        <v/>
      </c>
      <c r="AP5" s="14" t="n">
        <v>46239</v>
      </c>
    </row>
    <row r="6">
      <c r="A6" s="6">
        <f>IF(B6="","",ROW()-3)</f>
        <v/>
      </c>
      <c r="B6" s="15" t="inlineStr">
        <is>
          <t>Initial Scope</t>
        </is>
      </c>
      <c r="C6" s="4" t="inlineStr">
        <is>
          <t>NW-103</t>
        </is>
      </c>
      <c r="D6" s="13" t="inlineStr">
        <is>
          <t>Open</t>
        </is>
      </c>
      <c r="E6" s="4" t="inlineStr">
        <is>
          <t>NW-103 Richer confirmation email template</t>
        </is>
      </c>
      <c r="F6" s="15" t="inlineStr">
        <is>
          <t>Task</t>
        </is>
      </c>
      <c r="G6" s="15" t="inlineStr">
        <is>
          <t>Yes</t>
        </is>
      </c>
      <c r="H6" s="8">
        <f>IF(OR(B6="",AND(AD6="",AE6="")),"",N(AD6)+IF(AND(Config!$C$19="Dev + QA",N6&lt;&gt;""),N(AE6),0))</f>
        <v/>
      </c>
      <c r="I6" s="20" t="n"/>
      <c r="J6" s="4" t="inlineStr">
        <is>
          <t>Project plan: dev 41 + QA 10</t>
        </is>
      </c>
      <c r="K6" s="4" t="inlineStr">
        <is>
          <t>Sample Developer</t>
        </is>
      </c>
      <c r="L6" s="14" t="n">
        <v>46193</v>
      </c>
      <c r="M6" s="18" t="n">
        <v>46223</v>
      </c>
      <c r="N6" s="18" t="n">
        <v>46239</v>
      </c>
      <c r="O6" s="6">
        <f>IF(B6="","",IF(M6&lt;&gt;"","Done","Open"))</f>
        <v/>
      </c>
      <c r="P6" s="15" t="inlineStr">
        <is>
          <t>Yes</t>
        </is>
      </c>
      <c r="Q6" s="4" t="n"/>
      <c r="R6" s="4" t="n"/>
      <c r="S6" s="15" t="inlineStr">
        <is>
          <t>Yes</t>
        </is>
      </c>
      <c r="T6" s="18" t="n">
        <v>46276</v>
      </c>
      <c r="U6" s="6">
        <f>IF(OR(B6="",F6="Excluded",S6&lt;&gt;"Yes",T6="",AND(AK6="Yes",M6="")),"",IF(N(IF(AI6="Delivery",M6,IF(OR(M6="",N(AH6)=0),"",MAX(M6,AH6))))=0,IF(Config!$C$14&lt;=T6,"Pending","No"),IF(IF(AI6="Delivery",M6,IF(OR(M6="",N(AH6)=0),"",MAX(M6,AH6)))&lt;=T6,"Yes","No")))</f>
        <v/>
      </c>
      <c r="V6" s="15" t="inlineStr">
        <is>
          <t>Yes</t>
        </is>
      </c>
      <c r="W6" s="18" t="n">
        <v>46276</v>
      </c>
      <c r="X6" s="6">
        <f>IF(OR(B6="",F6="Excluded",V6&lt;&gt;"Yes",W6="",AND(AK6="Yes",M6="")),"",IF(N(IF(Config!$C$24="Handover",IF(OR(M6="",N(AH6)=0),"",MAX(M6,AH6)),M6))=0,IF(Config!$C$14&lt;=W6,"Pending","No"),IF(IF(Config!$C$24="Handover",IF(OR(M6="",N(AH6)=0),"",MAX(M6,AH6)),M6)&lt;=W6,"Yes","No")))</f>
        <v/>
      </c>
      <c r="Y6" s="15" t="inlineStr">
        <is>
          <t>No</t>
        </is>
      </c>
      <c r="Z6" s="21" t="n">
        <v>0</v>
      </c>
      <c r="AA6" s="4" t="inlineStr">
        <is>
          <t>Failed QA on 07/23 while still being tested for the first time, so it is not counted as rework (the task was never closed and reopened)</t>
        </is>
      </c>
      <c r="AB6" s="4" t="n"/>
      <c r="AC6" s="4" t="inlineStr">
        <is>
          <t>Plan: Milestone 2. Original plan: 07/29</t>
        </is>
      </c>
      <c r="AD6" s="20" t="n">
        <v>41</v>
      </c>
      <c r="AE6" s="20" t="n">
        <v>10</v>
      </c>
      <c r="AF6" s="4" t="inlineStr">
        <is>
          <t>Closed</t>
        </is>
      </c>
      <c r="AG6" s="4" t="n"/>
      <c r="AH6" s="11">
        <f>IF(B6="","",IFERROR(INDEX(Periods!$H$5:$H$200,MATCH($B6,Periods!$B$5:$B$200,0)),""))</f>
        <v/>
      </c>
      <c r="AI6" s="11">
        <f>IF(B6="","",IF(COUNTIFS(Periods!$B$5:$B$200,$B6,Periods!$N$5:$N$200,"Handover")&gt;0,"Handover",IF(COUNTIFS(Periods!$B$5:$B$200,$B6,Periods!$N$5:$N$200,"Delivery")&gt;0,"Delivery",Config!$C$42)))</f>
        <v/>
      </c>
      <c r="AJ6" s="11" t="inlineStr">
        <is>
          <t>1200000000000003</t>
        </is>
      </c>
      <c r="AK6" s="4" t="inlineStr">
        <is>
          <t>No</t>
        </is>
      </c>
      <c r="AL6" s="4" t="inlineStr">
        <is>
          <t>No</t>
        </is>
      </c>
      <c r="AM6" s="4" t="inlineStr">
        <is>
          <t>No group</t>
        </is>
      </c>
      <c r="AN6" s="11" t="n"/>
      <c r="AO6" s="11">
        <f>IF(OR(B6="",N(M6)=0),"No",IF(Config!$C$18="Story Points",IF(AND(F6&lt;&gt;"Excluded",LEN(I6)=0),"Yes","No"),IF(AND(OR(AND(F6&lt;&gt;"Excluded",AM6="No group"),AL6="Yes"),OR(LEN(AD6)=0,AND(Config!$C$19="Dev + QA",N(N6)&gt;0,LEN(AE6)=0))),"Yes","No")))</f>
        <v/>
      </c>
      <c r="AP6" s="14" t="n">
        <v>46239</v>
      </c>
    </row>
    <row r="7">
      <c r="A7" s="6">
        <f>IF(B7="","",ROW()-3)</f>
        <v/>
      </c>
      <c r="B7" s="15" t="inlineStr">
        <is>
          <t>Initial Scope</t>
        </is>
      </c>
      <c r="C7" s="4" t="inlineStr">
        <is>
          <t>NW-104</t>
        </is>
      </c>
      <c r="D7" s="13" t="inlineStr">
        <is>
          <t>Open</t>
        </is>
      </c>
      <c r="E7" s="4" t="inlineStr">
        <is>
          <t>NW-104 Remember the last used filter</t>
        </is>
      </c>
      <c r="F7" s="15" t="inlineStr">
        <is>
          <t>Task</t>
        </is>
      </c>
      <c r="G7" s="15" t="inlineStr">
        <is>
          <t>Yes</t>
        </is>
      </c>
      <c r="H7" s="8">
        <f>IF(OR(B7="",AND(AD7="",AE7="")),"",N(AD7)+IF(AND(Config!$C$19="Dev + QA",N7&lt;&gt;""),N(AE7),0))</f>
        <v/>
      </c>
      <c r="I7" s="20" t="n"/>
      <c r="J7" s="4" t="inlineStr">
        <is>
          <t>Project plan: dev 3.5 + QA 2</t>
        </is>
      </c>
      <c r="K7" s="4" t="inlineStr">
        <is>
          <t>Sample Developer</t>
        </is>
      </c>
      <c r="L7" s="14" t="n">
        <v>46193</v>
      </c>
      <c r="M7" s="18" t="n">
        <v>46216</v>
      </c>
      <c r="N7" s="18" t="n">
        <v>46245</v>
      </c>
      <c r="O7" s="6">
        <f>IF(B7="","",IF(M7&lt;&gt;"","Done","Open"))</f>
        <v/>
      </c>
      <c r="P7" s="15" t="inlineStr">
        <is>
          <t>Yes</t>
        </is>
      </c>
      <c r="Q7" s="4" t="n"/>
      <c r="R7" s="4" t="n"/>
      <c r="S7" s="15" t="inlineStr">
        <is>
          <t>Yes</t>
        </is>
      </c>
      <c r="T7" s="18" t="n">
        <v>46276</v>
      </c>
      <c r="U7" s="6">
        <f>IF(OR(B7="",F7="Excluded",S7&lt;&gt;"Yes",T7="",AND(AK7="Yes",M7="")),"",IF(N(IF(AI7="Delivery",M7,IF(OR(M7="",N(AH7)=0),"",MAX(M7,AH7))))=0,IF(Config!$C$14&lt;=T7,"Pending","No"),IF(IF(AI7="Delivery",M7,IF(OR(M7="",N(AH7)=0),"",MAX(M7,AH7)))&lt;=T7,"Yes","No")))</f>
        <v/>
      </c>
      <c r="V7" s="15" t="inlineStr">
        <is>
          <t>Yes</t>
        </is>
      </c>
      <c r="W7" s="18" t="n">
        <v>46276</v>
      </c>
      <c r="X7" s="6">
        <f>IF(OR(B7="",F7="Excluded",V7&lt;&gt;"Yes",W7="",AND(AK7="Yes",M7="")),"",IF(N(IF(Config!$C$24="Handover",IF(OR(M7="",N(AH7)=0),"",MAX(M7,AH7)),M7))=0,IF(Config!$C$14&lt;=W7,"Pending","No"),IF(IF(Config!$C$24="Handover",IF(OR(M7="",N(AH7)=0),"",MAX(M7,AH7)),M7)&lt;=W7,"Yes","No")))</f>
        <v/>
      </c>
      <c r="Y7" s="15" t="inlineStr">
        <is>
          <t>Yes</t>
        </is>
      </c>
      <c r="Z7" s="21" t="n">
        <v>1</v>
      </c>
      <c r="AA7" s="4" t="inlineStr">
        <is>
          <t>Closed on 08/04 and reopened on 08/07</t>
        </is>
      </c>
      <c r="AB7" s="13" t="inlineStr">
        <is>
          <t>Open</t>
        </is>
      </c>
      <c r="AC7" s="4" t="inlineStr">
        <is>
          <t>Plan: Milestone 1. Original plan: 07/29</t>
        </is>
      </c>
      <c r="AD7" s="20" t="n">
        <v>3.5</v>
      </c>
      <c r="AE7" s="20" t="n">
        <v>2</v>
      </c>
      <c r="AF7" s="4" t="inlineStr">
        <is>
          <t>Closed</t>
        </is>
      </c>
      <c r="AG7" s="4" t="n"/>
      <c r="AH7" s="11">
        <f>IF(B7="","",IFERROR(INDEX(Periods!$H$5:$H$200,MATCH($B7,Periods!$B$5:$B$200,0)),""))</f>
        <v/>
      </c>
      <c r="AI7" s="11">
        <f>IF(B7="","",IF(COUNTIFS(Periods!$B$5:$B$200,$B7,Periods!$N$5:$N$200,"Handover")&gt;0,"Handover",IF(COUNTIFS(Periods!$B$5:$B$200,$B7,Periods!$N$5:$N$200,"Delivery")&gt;0,"Delivery",Config!$C$42)))</f>
        <v/>
      </c>
      <c r="AJ7" s="11" t="inlineStr">
        <is>
          <t>1200000000000004</t>
        </is>
      </c>
      <c r="AK7" s="4" t="inlineStr">
        <is>
          <t>No</t>
        </is>
      </c>
      <c r="AL7" s="4" t="inlineStr">
        <is>
          <t>No</t>
        </is>
      </c>
      <c r="AM7" s="4" t="inlineStr">
        <is>
          <t>No group</t>
        </is>
      </c>
      <c r="AN7" s="11" t="n"/>
      <c r="AO7" s="11">
        <f>IF(OR(B7="",N(M7)=0),"No",IF(Config!$C$18="Story Points",IF(AND(F7&lt;&gt;"Excluded",LEN(I7)=0),"Yes","No"),IF(AND(OR(AND(F7&lt;&gt;"Excluded",AM7="No group"),AL7="Yes"),OR(LEN(AD7)=0,AND(Config!$C$19="Dev + QA",N(N7)&gt;0,LEN(AE7)=0))),"Yes","No")))</f>
        <v/>
      </c>
      <c r="AP7" s="14" t="n">
        <v>46245</v>
      </c>
    </row>
    <row r="8">
      <c r="A8" s="6">
        <f>IF(B8="","",ROW()-3)</f>
        <v/>
      </c>
      <c r="B8" s="15" t="inlineStr">
        <is>
          <t>Initial Scope</t>
        </is>
      </c>
      <c r="C8" s="4" t="inlineStr">
        <is>
          <t>NW-105</t>
        </is>
      </c>
      <c r="D8" s="13" t="inlineStr">
        <is>
          <t>Open</t>
        </is>
      </c>
      <c r="E8" s="4" t="inlineStr">
        <is>
          <t>NW-105 Export bookings to CSV</t>
        </is>
      </c>
      <c r="F8" s="15" t="inlineStr">
        <is>
          <t>Task</t>
        </is>
      </c>
      <c r="G8" s="15" t="inlineStr">
        <is>
          <t>Yes</t>
        </is>
      </c>
      <c r="H8" s="8">
        <f>IF(OR(B8="",AND(AD8="",AE8="")),"",N(AD8)+IF(AND(Config!$C$19="Dev + QA",N8&lt;&gt;""),N(AE8),0))</f>
        <v/>
      </c>
      <c r="I8" s="20" t="n"/>
      <c r="J8" s="4" t="inlineStr">
        <is>
          <t>Project plan: dev 10 + QA 2</t>
        </is>
      </c>
      <c r="K8" s="4" t="inlineStr">
        <is>
          <t>Sample Developer</t>
        </is>
      </c>
      <c r="L8" s="14" t="n">
        <v>46194</v>
      </c>
      <c r="M8" s="18" t="n">
        <v>46220</v>
      </c>
      <c r="N8" s="18" t="n">
        <v>46239</v>
      </c>
      <c r="O8" s="6">
        <f>IF(B8="","",IF(M8&lt;&gt;"","Done","Open"))</f>
        <v/>
      </c>
      <c r="P8" s="15" t="inlineStr">
        <is>
          <t>Yes</t>
        </is>
      </c>
      <c r="Q8" s="4" t="n"/>
      <c r="R8" s="4" t="n"/>
      <c r="S8" s="15" t="inlineStr">
        <is>
          <t>Yes</t>
        </is>
      </c>
      <c r="T8" s="18" t="n">
        <v>46276</v>
      </c>
      <c r="U8" s="6">
        <f>IF(OR(B8="",F8="Excluded",S8&lt;&gt;"Yes",T8="",AND(AK8="Yes",M8="")),"",IF(N(IF(AI8="Delivery",M8,IF(OR(M8="",N(AH8)=0),"",MAX(M8,AH8))))=0,IF(Config!$C$14&lt;=T8,"Pending","No"),IF(IF(AI8="Delivery",M8,IF(OR(M8="",N(AH8)=0),"",MAX(M8,AH8)))&lt;=T8,"Yes","No")))</f>
        <v/>
      </c>
      <c r="V8" s="15" t="inlineStr">
        <is>
          <t>Yes</t>
        </is>
      </c>
      <c r="W8" s="18" t="n">
        <v>46276</v>
      </c>
      <c r="X8" s="6">
        <f>IF(OR(B8="",F8="Excluded",V8&lt;&gt;"Yes",W8="",AND(AK8="Yes",M8="")),"",IF(N(IF(Config!$C$24="Handover",IF(OR(M8="",N(AH8)=0),"",MAX(M8,AH8)),M8))=0,IF(Config!$C$14&lt;=W8,"Pending","No"),IF(IF(Config!$C$24="Handover",IF(OR(M8="",N(AH8)=0),"",MAX(M8,AH8)),M8)&lt;=W8,"Yes","No")))</f>
        <v/>
      </c>
      <c r="Y8" s="15" t="inlineStr">
        <is>
          <t>No</t>
        </is>
      </c>
      <c r="Z8" s="21" t="n">
        <v>0</v>
      </c>
      <c r="AA8" s="4" t="n"/>
      <c r="AB8" s="4" t="n"/>
      <c r="AC8" s="4" t="inlineStr">
        <is>
          <t>Plan: Milestone 1. Original plan: 07/29</t>
        </is>
      </c>
      <c r="AD8" s="20" t="n">
        <v>10</v>
      </c>
      <c r="AE8" s="20" t="n">
        <v>2</v>
      </c>
      <c r="AF8" s="4" t="inlineStr">
        <is>
          <t>Closed</t>
        </is>
      </c>
      <c r="AG8" s="4" t="inlineStr">
        <is>
          <t>understood: waited in 'Awaiting Feedback' on 07/10, but for environment, not for the requirement (not confirmed)</t>
        </is>
      </c>
      <c r="AH8" s="11">
        <f>IF(B8="","",IFERROR(INDEX(Periods!$H$5:$H$200,MATCH($B8,Periods!$B$5:$B$200,0)),""))</f>
        <v/>
      </c>
      <c r="AI8" s="11">
        <f>IF(B8="","",IF(COUNTIFS(Periods!$B$5:$B$200,$B8,Periods!$N$5:$N$200,"Handover")&gt;0,"Handover",IF(COUNTIFS(Periods!$B$5:$B$200,$B8,Periods!$N$5:$N$200,"Delivery")&gt;0,"Delivery",Config!$C$42)))</f>
        <v/>
      </c>
      <c r="AJ8" s="11" t="inlineStr">
        <is>
          <t>1200000000000005</t>
        </is>
      </c>
      <c r="AK8" s="4" t="inlineStr">
        <is>
          <t>No</t>
        </is>
      </c>
      <c r="AL8" s="4" t="inlineStr">
        <is>
          <t>No</t>
        </is>
      </c>
      <c r="AM8" s="4" t="inlineStr">
        <is>
          <t>No group</t>
        </is>
      </c>
      <c r="AN8" s="11" t="n"/>
      <c r="AO8" s="11">
        <f>IF(OR(B8="",N(M8)=0),"No",IF(Config!$C$18="Story Points",IF(AND(F8&lt;&gt;"Excluded",LEN(I8)=0),"Yes","No"),IF(AND(OR(AND(F8&lt;&gt;"Excluded",AM8="No group"),AL8="Yes"),OR(LEN(AD8)=0,AND(Config!$C$19="Dev + QA",N(N8)&gt;0,LEN(AE8)=0))),"Yes","No")))</f>
        <v/>
      </c>
      <c r="AP8" s="14" t="n">
        <v>46239</v>
      </c>
    </row>
    <row r="9">
      <c r="A9" s="6">
        <f>IF(B9="","",ROW()-3)</f>
        <v/>
      </c>
      <c r="B9" s="15" t="inlineStr">
        <is>
          <t>Initial Scope</t>
        </is>
      </c>
      <c r="C9" s="4" t="inlineStr">
        <is>
          <t>NW-106</t>
        </is>
      </c>
      <c r="D9" s="13" t="inlineStr">
        <is>
          <t>Open</t>
        </is>
      </c>
      <c r="E9" s="4" t="inlineStr">
        <is>
          <t>NW-106 Tablet check-in screen</t>
        </is>
      </c>
      <c r="F9" s="15" t="inlineStr">
        <is>
          <t>Task</t>
        </is>
      </c>
      <c r="G9" s="15" t="inlineStr">
        <is>
          <t>Yes</t>
        </is>
      </c>
      <c r="H9" s="8">
        <f>IF(OR(B9="",AND(AD9="",AE9="")),"",N(AD9)+IF(AND(Config!$C$19="Dev + QA",N9&lt;&gt;""),N(AE9),0))</f>
        <v/>
      </c>
      <c r="I9" s="20" t="n"/>
      <c r="J9" s="4" t="inlineStr">
        <is>
          <t>Project plan: dev 33.5 + QA 6</t>
        </is>
      </c>
      <c r="K9" s="4" t="inlineStr">
        <is>
          <t>Sample Developer</t>
        </is>
      </c>
      <c r="L9" s="14" t="n">
        <v>46195</v>
      </c>
      <c r="M9" s="18" t="n">
        <v>46231</v>
      </c>
      <c r="N9" s="15" t="n"/>
      <c r="O9" s="6">
        <f>IF(B9="","",IF(M9&lt;&gt;"","Done","Open"))</f>
        <v/>
      </c>
      <c r="P9" s="15" t="inlineStr">
        <is>
          <t>Yes</t>
        </is>
      </c>
      <c r="Q9" s="4" t="n"/>
      <c r="R9" s="4" t="n"/>
      <c r="S9" s="15" t="inlineStr">
        <is>
          <t>Yes</t>
        </is>
      </c>
      <c r="T9" s="18" t="n">
        <v>46276</v>
      </c>
      <c r="U9" s="6">
        <f>IF(OR(B9="",F9="Excluded",S9&lt;&gt;"Yes",T9="",AND(AK9="Yes",M9="")),"",IF(N(IF(AI9="Delivery",M9,IF(OR(M9="",N(AH9)=0),"",MAX(M9,AH9))))=0,IF(Config!$C$14&lt;=T9,"Pending","No"),IF(IF(AI9="Delivery",M9,IF(OR(M9="",N(AH9)=0),"",MAX(M9,AH9)))&lt;=T9,"Yes","No")))</f>
        <v/>
      </c>
      <c r="V9" s="15" t="inlineStr">
        <is>
          <t>Yes</t>
        </is>
      </c>
      <c r="W9" s="18" t="n">
        <v>46276</v>
      </c>
      <c r="X9" s="6">
        <f>IF(OR(B9="",F9="Excluded",V9&lt;&gt;"Yes",W9="",AND(AK9="Yes",M9="")),"",IF(N(IF(Config!$C$24="Handover",IF(OR(M9="",N(AH9)=0),"",MAX(M9,AH9)),M9))=0,IF(Config!$C$14&lt;=W9,"Pending","No"),IF(IF(Config!$C$24="Handover",IF(OR(M9="",N(AH9)=0),"",MAX(M9,AH9)),M9)&lt;=W9,"Yes","No")))</f>
        <v/>
      </c>
      <c r="Y9" s="15" t="n"/>
      <c r="Z9" s="21" t="n"/>
      <c r="AA9" s="4" t="n"/>
      <c r="AB9" s="4" t="n"/>
      <c r="AC9" s="4" t="inlineStr">
        <is>
          <t>Plan: Milestone 2. Original plan: 07/29</t>
        </is>
      </c>
      <c r="AD9" s="20" t="n">
        <v>33.5</v>
      </c>
      <c r="AE9" s="20" t="n">
        <v>6</v>
      </c>
      <c r="AF9" s="4" t="inlineStr">
        <is>
          <t>Ready for QA</t>
        </is>
      </c>
      <c r="AG9" s="4" t="n"/>
      <c r="AH9" s="11">
        <f>IF(B9="","",IFERROR(INDEX(Periods!$H$5:$H$200,MATCH($B9,Periods!$B$5:$B$200,0)),""))</f>
        <v/>
      </c>
      <c r="AI9" s="11">
        <f>IF(B9="","",IF(COUNTIFS(Periods!$B$5:$B$200,$B9,Periods!$N$5:$N$200,"Handover")&gt;0,"Handover",IF(COUNTIFS(Periods!$B$5:$B$200,$B9,Periods!$N$5:$N$200,"Delivery")&gt;0,"Delivery",Config!$C$42)))</f>
        <v/>
      </c>
      <c r="AJ9" s="11" t="inlineStr">
        <is>
          <t>1200000000000006</t>
        </is>
      </c>
      <c r="AK9" s="4" t="inlineStr">
        <is>
          <t>No</t>
        </is>
      </c>
      <c r="AL9" s="4" t="inlineStr">
        <is>
          <t>No</t>
        </is>
      </c>
      <c r="AM9" s="4" t="inlineStr">
        <is>
          <t>No group</t>
        </is>
      </c>
      <c r="AN9" s="11" t="n"/>
      <c r="AO9" s="11">
        <f>IF(OR(B9="",N(M9)=0),"No",IF(Config!$C$18="Story Points",IF(AND(F9&lt;&gt;"Excluded",LEN(I9)=0),"Yes","No"),IF(AND(OR(AND(F9&lt;&gt;"Excluded",AM9="No group"),AL9="Yes"),OR(LEN(AD9)=0,AND(Config!$C$19="Dev + QA",N(N9)&gt;0,LEN(AE9)=0))),"Yes","No")))</f>
        <v/>
      </c>
      <c r="AP9" s="4" t="n"/>
    </row>
    <row r="10">
      <c r="A10" s="6">
        <f>IF(B10="","",ROW()-3)</f>
        <v/>
      </c>
      <c r="B10" s="15" t="inlineStr">
        <is>
          <t>Initial Scope</t>
        </is>
      </c>
      <c r="C10" s="4" t="inlineStr">
        <is>
          <t>NW-140</t>
        </is>
      </c>
      <c r="D10" s="13" t="inlineStr">
        <is>
          <t>Open</t>
        </is>
      </c>
      <c r="E10" s="4" t="inlineStr">
        <is>
          <t>[CR] NW-140 Single sign-on fix</t>
        </is>
      </c>
      <c r="F10" s="15" t="inlineStr">
        <is>
          <t>CR</t>
        </is>
      </c>
      <c r="G10" s="15" t="inlineStr">
        <is>
          <t>No</t>
        </is>
      </c>
      <c r="H10" s="8">
        <f>IF(OR(B10="",AND(AD10="",AE10="")),"",N(AD10)+IF(AND(Config!$C$19="Dev + QA",N10&lt;&gt;""),N(AE10),0))</f>
        <v/>
      </c>
      <c r="I10" s="20" t="n"/>
      <c r="J10" s="4" t="inlineStr">
        <is>
          <t>Estimates sheet: dev 10 + QA 4</t>
        </is>
      </c>
      <c r="K10" s="4" t="inlineStr">
        <is>
          <t>Sample Developer</t>
        </is>
      </c>
      <c r="L10" s="14" t="n">
        <v>46233</v>
      </c>
      <c r="M10" s="18" t="n">
        <v>46240</v>
      </c>
      <c r="N10" s="18" t="n">
        <v>46245</v>
      </c>
      <c r="O10" s="6">
        <f>IF(B10="","",IF(M10&lt;&gt;"","Done","Open"))</f>
        <v/>
      </c>
      <c r="P10" s="15" t="inlineStr">
        <is>
          <t>Yes</t>
        </is>
      </c>
      <c r="Q10" s="4" t="n"/>
      <c r="R10" s="4" t="n"/>
      <c r="S10" s="15" t="inlineStr">
        <is>
          <t>Yes</t>
        </is>
      </c>
      <c r="T10" s="18" t="n">
        <v>46276</v>
      </c>
      <c r="U10" s="6">
        <f>IF(OR(B10="",F10="Excluded",S10&lt;&gt;"Yes",T10="",AND(AK10="Yes",M10="")),"",IF(N(IF(AI10="Delivery",M10,IF(OR(M10="",N(AH10)=0),"",MAX(M10,AH10))))=0,IF(Config!$C$14&lt;=T10,"Pending","No"),IF(IF(AI10="Delivery",M10,IF(OR(M10="",N(AH10)=0),"",MAX(M10,AH10)))&lt;=T10,"Yes","No")))</f>
        <v/>
      </c>
      <c r="V10" s="15" t="inlineStr">
        <is>
          <t>Yes</t>
        </is>
      </c>
      <c r="W10" s="18" t="n">
        <v>46276</v>
      </c>
      <c r="X10" s="6">
        <f>IF(OR(B10="",F10="Excluded",V10&lt;&gt;"Yes",W10="",AND(AK10="Yes",M10="")),"",IF(N(IF(Config!$C$24="Handover",IF(OR(M10="",N(AH10)=0),"",MAX(M10,AH10)),M10))=0,IF(Config!$C$14&lt;=W10,"Pending","No"),IF(IF(Config!$C$24="Handover",IF(OR(M10="",N(AH10)=0),"",MAX(M10,AH10)),M10)&lt;=W10,"Yes","No")))</f>
        <v/>
      </c>
      <c r="Y10" s="15" t="inlineStr">
        <is>
          <t>No</t>
        </is>
      </c>
      <c r="Z10" s="21" t="n">
        <v>0</v>
      </c>
      <c r="AA10" s="4" t="n"/>
      <c r="AB10" s="4" t="n"/>
      <c r="AC10" s="4" t="inlineStr">
        <is>
          <t>Approved 07/31. Original plan: 07/29</t>
        </is>
      </c>
      <c r="AD10" s="20" t="n">
        <v>10</v>
      </c>
      <c r="AE10" s="20" t="n">
        <v>4</v>
      </c>
      <c r="AF10" s="4" t="inlineStr">
        <is>
          <t>Closed</t>
        </is>
      </c>
      <c r="AG10" s="4" t="n"/>
      <c r="AH10" s="11">
        <f>IF(B10="","",IFERROR(INDEX(Periods!$H$5:$H$200,MATCH($B10,Periods!$B$5:$B$200,0)),""))</f>
        <v/>
      </c>
      <c r="AI10" s="11">
        <f>IF(B10="","",IF(COUNTIFS(Periods!$B$5:$B$200,$B10,Periods!$N$5:$N$200,"Handover")&gt;0,"Handover",IF(COUNTIFS(Periods!$B$5:$B$200,$B10,Periods!$N$5:$N$200,"Delivery")&gt;0,"Delivery",Config!$C$42)))</f>
        <v/>
      </c>
      <c r="AJ10" s="11" t="inlineStr">
        <is>
          <t>1200000000000007</t>
        </is>
      </c>
      <c r="AK10" s="4" t="inlineStr">
        <is>
          <t>No</t>
        </is>
      </c>
      <c r="AL10" s="4" t="inlineStr">
        <is>
          <t>No</t>
        </is>
      </c>
      <c r="AM10" s="4" t="inlineStr">
        <is>
          <t>No group</t>
        </is>
      </c>
      <c r="AN10" s="11" t="n"/>
      <c r="AO10" s="11">
        <f>IF(OR(B10="",N(M10)=0),"No",IF(Config!$C$18="Story Points",IF(AND(F10&lt;&gt;"Excluded",LEN(I10)=0),"Yes","No"),IF(AND(OR(AND(F10&lt;&gt;"Excluded",AM10="No group"),AL10="Yes"),OR(LEN(AD10)=0,AND(Config!$C$19="Dev + QA",N(N10)&gt;0,LEN(AE10)=0))),"Yes","No")))</f>
        <v/>
      </c>
      <c r="AP10" s="14" t="n">
        <v>46245</v>
      </c>
    </row>
    <row r="11">
      <c r="A11" s="6">
        <f>IF(B11="","",ROW()-3)</f>
        <v/>
      </c>
      <c r="B11" s="15" t="inlineStr">
        <is>
          <t>Initial Scope</t>
        </is>
      </c>
      <c r="C11" s="4" t="inlineStr">
        <is>
          <t>NW-141</t>
        </is>
      </c>
      <c r="D11" s="13" t="inlineStr">
        <is>
          <t>Open</t>
        </is>
      </c>
      <c r="E11" s="4" t="inlineStr">
        <is>
          <t>NW-141 Extra fields on the room profile</t>
        </is>
      </c>
      <c r="F11" s="15" t="inlineStr">
        <is>
          <t>CR</t>
        </is>
      </c>
      <c r="G11" s="15" t="inlineStr">
        <is>
          <t>No</t>
        </is>
      </c>
      <c r="H11" s="8">
        <f>IF(OR(B11="",AND(AD11="",AE11="")),"",N(AD11)+IF(AND(Config!$C$19="Dev + QA",N11&lt;&gt;""),N(AE11),0))</f>
        <v/>
      </c>
      <c r="I11" s="20" t="n"/>
      <c r="J11" s="4" t="inlineStr">
        <is>
          <t>Estimates sheet: dev 14 + QA 4</t>
        </is>
      </c>
      <c r="K11" s="4" t="inlineStr">
        <is>
          <t>Sample Developer</t>
        </is>
      </c>
      <c r="L11" s="14" t="n">
        <v>46244</v>
      </c>
      <c r="M11" s="18" t="n">
        <v>46245</v>
      </c>
      <c r="N11" s="18" t="n">
        <v>46246</v>
      </c>
      <c r="O11" s="6">
        <f>IF(B11="","",IF(M11&lt;&gt;"","Done","Open"))</f>
        <v/>
      </c>
      <c r="P11" s="15" t="inlineStr">
        <is>
          <t>Yes</t>
        </is>
      </c>
      <c r="Q11" s="4" t="n"/>
      <c r="R11" s="4" t="n"/>
      <c r="S11" s="15" t="inlineStr">
        <is>
          <t>Yes</t>
        </is>
      </c>
      <c r="T11" s="18" t="n">
        <v>46276</v>
      </c>
      <c r="U11" s="6">
        <f>IF(OR(B11="",F11="Excluded",S11&lt;&gt;"Yes",T11="",AND(AK11="Yes",M11="")),"",IF(N(IF(AI11="Delivery",M11,IF(OR(M11="",N(AH11)=0),"",MAX(M11,AH11))))=0,IF(Config!$C$14&lt;=T11,"Pending","No"),IF(IF(AI11="Delivery",M11,IF(OR(M11="",N(AH11)=0),"",MAX(M11,AH11)))&lt;=T11,"Yes","No")))</f>
        <v/>
      </c>
      <c r="V11" s="15" t="inlineStr">
        <is>
          <t>Yes</t>
        </is>
      </c>
      <c r="W11" s="18" t="n">
        <v>46276</v>
      </c>
      <c r="X11" s="6">
        <f>IF(OR(B11="",F11="Excluded",V11&lt;&gt;"Yes",W11="",AND(AK11="Yes",M11="")),"",IF(N(IF(Config!$C$24="Handover",IF(OR(M11="",N(AH11)=0),"",MAX(M11,AH11)),M11))=0,IF(Config!$C$14&lt;=W11,"Pending","No"),IF(IF(Config!$C$24="Handover",IF(OR(M11="",N(AH11)=0),"",MAX(M11,AH11)),M11)&lt;=W11,"Yes","No")))</f>
        <v/>
      </c>
      <c r="Y11" s="15" t="inlineStr">
        <is>
          <t>No</t>
        </is>
      </c>
      <c r="Z11" s="21" t="n">
        <v>0</v>
      </c>
      <c r="AA11" s="4" t="n"/>
      <c r="AB11" s="4" t="n"/>
      <c r="AC11" s="4" t="inlineStr">
        <is>
          <t>Approved 08/10. Original plan: 07/29</t>
        </is>
      </c>
      <c r="AD11" s="20" t="n">
        <v>14</v>
      </c>
      <c r="AE11" s="20" t="n">
        <v>4</v>
      </c>
      <c r="AF11" s="4" t="inlineStr">
        <is>
          <t>Closed</t>
        </is>
      </c>
      <c r="AG11" s="4" t="n"/>
      <c r="AH11" s="11">
        <f>IF(B11="","",IFERROR(INDEX(Periods!$H$5:$H$200,MATCH($B11,Periods!$B$5:$B$200,0)),""))</f>
        <v/>
      </c>
      <c r="AI11" s="11">
        <f>IF(B11="","",IF(COUNTIFS(Periods!$B$5:$B$200,$B11,Periods!$N$5:$N$200,"Handover")&gt;0,"Handover",IF(COUNTIFS(Periods!$B$5:$B$200,$B11,Periods!$N$5:$N$200,"Delivery")&gt;0,"Delivery",Config!$C$42)))</f>
        <v/>
      </c>
      <c r="AJ11" s="11" t="inlineStr">
        <is>
          <t>1200000000000008</t>
        </is>
      </c>
      <c r="AK11" s="4" t="inlineStr">
        <is>
          <t>No</t>
        </is>
      </c>
      <c r="AL11" s="4" t="inlineStr">
        <is>
          <t>No</t>
        </is>
      </c>
      <c r="AM11" s="4" t="inlineStr">
        <is>
          <t>No group</t>
        </is>
      </c>
      <c r="AN11" s="11" t="n"/>
      <c r="AO11" s="11">
        <f>IF(OR(B11="",N(M11)=0),"No",IF(Config!$C$18="Story Points",IF(AND(F11&lt;&gt;"Excluded",LEN(I11)=0),"Yes","No"),IF(AND(OR(AND(F11&lt;&gt;"Excluded",AM11="No group"),AL11="Yes"),OR(LEN(AD11)=0,AND(Config!$C$19="Dev + QA",N(N11)&gt;0,LEN(AE11)=0))),"Yes","No")))</f>
        <v/>
      </c>
      <c r="AP11" s="14" t="n">
        <v>46246</v>
      </c>
    </row>
    <row r="12">
      <c r="A12" s="6">
        <f>IF(B12="","",ROW()-3)</f>
        <v/>
      </c>
      <c r="B12" s="15" t="inlineStr">
        <is>
          <t>Additional Requests 1</t>
        </is>
      </c>
      <c r="C12" s="4" t="inlineStr">
        <is>
          <t>NW-160</t>
        </is>
      </c>
      <c r="D12" s="13" t="inlineStr">
        <is>
          <t>Open</t>
        </is>
      </c>
      <c r="E12" s="4" t="inlineStr">
        <is>
          <t>NW-160 Calendar sync for cancelled bookings</t>
        </is>
      </c>
      <c r="F12" s="15" t="inlineStr">
        <is>
          <t>CR</t>
        </is>
      </c>
      <c r="G12" s="15" t="inlineStr">
        <is>
          <t>No</t>
        </is>
      </c>
      <c r="H12" s="8">
        <f>IF(OR(B12="",AND(AD12="",AE12="")),"",N(AD12)+IF(AND(Config!$C$19="Dev + QA",N12&lt;&gt;""),N(AE12),0))</f>
        <v/>
      </c>
      <c r="I12" s="20" t="n"/>
      <c r="J12" s="4" t="inlineStr">
        <is>
          <t>Estimates sheet: dev 32 + QA 8</t>
        </is>
      </c>
      <c r="K12" s="4" t="inlineStr">
        <is>
          <t>Sample Developer</t>
        </is>
      </c>
      <c r="L12" s="14" t="n">
        <v>46262</v>
      </c>
      <c r="M12" s="18" t="n">
        <v>46275</v>
      </c>
      <c r="N12" s="15" t="n"/>
      <c r="O12" s="6">
        <f>IF(B12="","",IF(M12&lt;&gt;"","Done","Open"))</f>
        <v/>
      </c>
      <c r="P12" s="15" t="inlineStr">
        <is>
          <t>Yes</t>
        </is>
      </c>
      <c r="Q12" s="4" t="n"/>
      <c r="R12" s="4" t="n"/>
      <c r="S12" s="15" t="inlineStr">
        <is>
          <t>Yes</t>
        </is>
      </c>
      <c r="T12" s="18" t="n">
        <v>46276</v>
      </c>
      <c r="U12" s="6">
        <f>IF(OR(B12="",F12="Excluded",S12&lt;&gt;"Yes",T12="",AND(AK12="Yes",M12="")),"",IF(N(IF(AI12="Delivery",M12,IF(OR(M12="",N(AH12)=0),"",MAX(M12,AH12))))=0,IF(Config!$C$14&lt;=T12,"Pending","No"),IF(IF(AI12="Delivery",M12,IF(OR(M12="",N(AH12)=0),"",MAX(M12,AH12)))&lt;=T12,"Yes","No")))</f>
        <v/>
      </c>
      <c r="V12" s="15" t="inlineStr">
        <is>
          <t>Yes</t>
        </is>
      </c>
      <c r="W12" s="18" t="n">
        <v>46276</v>
      </c>
      <c r="X12" s="6">
        <f>IF(OR(B12="",F12="Excluded",V12&lt;&gt;"Yes",W12="",AND(AK12="Yes",M12="")),"",IF(N(IF(Config!$C$24="Handover",IF(OR(M12="",N(AH12)=0),"",MAX(M12,AH12)),M12))=0,IF(Config!$C$14&lt;=W12,"Pending","No"),IF(IF(Config!$C$24="Handover",IF(OR(M12="",N(AH12)=0),"",MAX(M12,AH12)),M12)&lt;=W12,"Yes","No")))</f>
        <v/>
      </c>
      <c r="Y12" s="15" t="n"/>
      <c r="Z12" s="21" t="n"/>
      <c r="AA12" s="4" t="n"/>
      <c r="AB12" s="4" t="n"/>
      <c r="AC12" s="4" t="inlineStr">
        <is>
          <t>Approved 08/28. Original plan: 09/16</t>
        </is>
      </c>
      <c r="AD12" s="20" t="n">
        <v>32</v>
      </c>
      <c r="AE12" s="20" t="n">
        <v>8</v>
      </c>
      <c r="AF12" s="4" t="inlineStr">
        <is>
          <t>Ready for QA</t>
        </is>
      </c>
      <c r="AG12" s="4" t="n"/>
      <c r="AH12" s="11">
        <f>IF(B12="","",IFERROR(INDEX(Periods!$H$5:$H$200,MATCH($B12,Periods!$B$5:$B$200,0)),""))</f>
        <v/>
      </c>
      <c r="AI12" s="11">
        <f>IF(B12="","",IF(COUNTIFS(Periods!$B$5:$B$200,$B12,Periods!$N$5:$N$200,"Handover")&gt;0,"Handover",IF(COUNTIFS(Periods!$B$5:$B$200,$B12,Periods!$N$5:$N$200,"Delivery")&gt;0,"Delivery",Config!$C$42)))</f>
        <v/>
      </c>
      <c r="AJ12" s="11" t="inlineStr">
        <is>
          <t>1200000000000009</t>
        </is>
      </c>
      <c r="AK12" s="4" t="inlineStr">
        <is>
          <t>No</t>
        </is>
      </c>
      <c r="AL12" s="4" t="inlineStr">
        <is>
          <t>No</t>
        </is>
      </c>
      <c r="AM12" s="4" t="inlineStr">
        <is>
          <t>No group</t>
        </is>
      </c>
      <c r="AN12" s="11" t="n"/>
      <c r="AO12" s="11">
        <f>IF(OR(B12="",N(M12)=0),"No",IF(Config!$C$18="Story Points",IF(AND(F12&lt;&gt;"Excluded",LEN(I12)=0),"Yes","No"),IF(AND(OR(AND(F12&lt;&gt;"Excluded",AM12="No group"),AL12="Yes"),OR(LEN(AD12)=0,AND(Config!$C$19="Dev + QA",N(N12)&gt;0,LEN(AE12)=0))),"Yes","No")))</f>
        <v/>
      </c>
      <c r="AP12" s="4" t="n"/>
    </row>
    <row r="13">
      <c r="A13" s="6">
        <f>IF(B13="","",ROW()-3)</f>
        <v/>
      </c>
      <c r="B13" s="15" t="inlineStr">
        <is>
          <t>Additional Requests 1</t>
        </is>
      </c>
      <c r="C13" s="4" t="inlineStr">
        <is>
          <t>NW-161</t>
        </is>
      </c>
      <c r="D13" s="13" t="inlineStr">
        <is>
          <t>Open</t>
        </is>
      </c>
      <c r="E13" s="4" t="inlineStr">
        <is>
          <t>[CRs] NW-161 Reminder emails before a booking</t>
        </is>
      </c>
      <c r="F13" s="15" t="inlineStr">
        <is>
          <t>CR</t>
        </is>
      </c>
      <c r="G13" s="15" t="inlineStr">
        <is>
          <t>No</t>
        </is>
      </c>
      <c r="H13" s="8">
        <f>IF(OR(B13="",AND(AD13="",AE13="")),"",N(AD13)+IF(AND(Config!$C$19="Dev + QA",N13&lt;&gt;""),N(AE13),0))</f>
        <v/>
      </c>
      <c r="I13" s="20" t="n"/>
      <c r="J13" s="4" t="inlineStr">
        <is>
          <t>Estimates sheet: dev 24 + QA 6</t>
        </is>
      </c>
      <c r="K13" s="4" t="inlineStr">
        <is>
          <t>Sample Developer</t>
        </is>
      </c>
      <c r="L13" s="14" t="n">
        <v>46262</v>
      </c>
      <c r="M13" s="18" t="n">
        <v>46273</v>
      </c>
      <c r="N13" s="18" t="n">
        <v>46280</v>
      </c>
      <c r="O13" s="6">
        <f>IF(B13="","",IF(M13&lt;&gt;"","Done","Open"))</f>
        <v/>
      </c>
      <c r="P13" s="15" t="inlineStr">
        <is>
          <t>Yes</t>
        </is>
      </c>
      <c r="Q13" s="4" t="n"/>
      <c r="R13" s="4" t="n"/>
      <c r="S13" s="15" t="inlineStr">
        <is>
          <t>Yes</t>
        </is>
      </c>
      <c r="T13" s="18" t="n">
        <v>46276</v>
      </c>
      <c r="U13" s="6">
        <f>IF(OR(B13="",F13="Excluded",S13&lt;&gt;"Yes",T13="",AND(AK13="Yes",M13="")),"",IF(N(IF(AI13="Delivery",M13,IF(OR(M13="",N(AH13)=0),"",MAX(M13,AH13))))=0,IF(Config!$C$14&lt;=T13,"Pending","No"),IF(IF(AI13="Delivery",M13,IF(OR(M13="",N(AH13)=0),"",MAX(M13,AH13)))&lt;=T13,"Yes","No")))</f>
        <v/>
      </c>
      <c r="V13" s="15" t="inlineStr">
        <is>
          <t>Yes</t>
        </is>
      </c>
      <c r="W13" s="18" t="n">
        <v>46276</v>
      </c>
      <c r="X13" s="6">
        <f>IF(OR(B13="",F13="Excluded",V13&lt;&gt;"Yes",W13="",AND(AK13="Yes",M13="")),"",IF(N(IF(Config!$C$24="Handover",IF(OR(M13="",N(AH13)=0),"",MAX(M13,AH13)),M13))=0,IF(Config!$C$14&lt;=W13,"Pending","No"),IF(IF(Config!$C$24="Handover",IF(OR(M13="",N(AH13)=0),"",MAX(M13,AH13)),M13)&lt;=W13,"Yes","No")))</f>
        <v/>
      </c>
      <c r="Y13" s="15" t="inlineStr">
        <is>
          <t>No</t>
        </is>
      </c>
      <c r="Z13" s="21" t="n">
        <v>0</v>
      </c>
      <c r="AA13" s="4" t="n"/>
      <c r="AB13" s="4" t="n"/>
      <c r="AC13" s="4" t="inlineStr">
        <is>
          <t>Approved 08/28. Original plan: 09/16</t>
        </is>
      </c>
      <c r="AD13" s="20" t="n">
        <v>24</v>
      </c>
      <c r="AE13" s="20" t="n">
        <v>6</v>
      </c>
      <c r="AF13" s="4" t="inlineStr">
        <is>
          <t>Closed</t>
        </is>
      </c>
      <c r="AG13" s="4" t="n"/>
      <c r="AH13" s="11">
        <f>IF(B13="","",IFERROR(INDEX(Periods!$H$5:$H$200,MATCH($B13,Periods!$B$5:$B$200,0)),""))</f>
        <v/>
      </c>
      <c r="AI13" s="11">
        <f>IF(B13="","",IF(COUNTIFS(Periods!$B$5:$B$200,$B13,Periods!$N$5:$N$200,"Handover")&gt;0,"Handover",IF(COUNTIFS(Periods!$B$5:$B$200,$B13,Periods!$N$5:$N$200,"Delivery")&gt;0,"Delivery",Config!$C$42)))</f>
        <v/>
      </c>
      <c r="AJ13" s="11" t="inlineStr">
        <is>
          <t>1200000000000010</t>
        </is>
      </c>
      <c r="AK13" s="4" t="inlineStr">
        <is>
          <t>No</t>
        </is>
      </c>
      <c r="AL13" s="4" t="inlineStr">
        <is>
          <t>No</t>
        </is>
      </c>
      <c r="AM13" s="4" t="inlineStr">
        <is>
          <t>No group</t>
        </is>
      </c>
      <c r="AN13" s="11" t="n"/>
      <c r="AO13" s="11">
        <f>IF(OR(B13="",N(M13)=0),"No",IF(Config!$C$18="Story Points",IF(AND(F13&lt;&gt;"Excluded",LEN(I13)=0),"Yes","No"),IF(AND(OR(AND(F13&lt;&gt;"Excluded",AM13="No group"),AL13="Yes"),OR(LEN(AD13)=0,AND(Config!$C$19="Dev + QA",N(N13)&gt;0,LEN(AE13)=0))),"Yes","No")))</f>
        <v/>
      </c>
      <c r="AP13" s="14" t="n">
        <v>46280</v>
      </c>
    </row>
    <row r="14">
      <c r="A14" s="6">
        <f>IF(B14="","",ROW()-3)</f>
        <v/>
      </c>
      <c r="B14" s="15" t="inlineStr">
        <is>
          <t>Initial Scope</t>
        </is>
      </c>
      <c r="C14" s="4" t="inlineStr">
        <is>
          <t>NW-150</t>
        </is>
      </c>
      <c r="D14" s="13" t="inlineStr">
        <is>
          <t>Open</t>
        </is>
      </c>
      <c r="E14" s="4" t="inlineStr">
        <is>
          <t>NW-150 Tidy up tablet log noise</t>
        </is>
      </c>
      <c r="F14" s="15" t="inlineStr">
        <is>
          <t>Scope</t>
        </is>
      </c>
      <c r="G14" s="15" t="inlineStr">
        <is>
          <t>No</t>
        </is>
      </c>
      <c r="H14" s="8">
        <f>IF(OR(B14="",AND(AD14="",AE14="")),"",N(AD14)+IF(AND(Config!$C$19="Dev + QA",N14&lt;&gt;""),N(AE14),0))</f>
        <v/>
      </c>
      <c r="I14" s="20" t="n"/>
      <c r="J14" s="4" t="n"/>
      <c r="K14" s="4" t="inlineStr">
        <is>
          <t>Sample Developer</t>
        </is>
      </c>
      <c r="L14" s="14" t="n">
        <v>46237</v>
      </c>
      <c r="M14" s="18" t="n">
        <v>46239</v>
      </c>
      <c r="N14" s="18" t="n">
        <v>46240</v>
      </c>
      <c r="O14" s="6">
        <f>IF(B14="","",IF(M14&lt;&gt;"","Done","Open"))</f>
        <v/>
      </c>
      <c r="P14" s="15" t="inlineStr">
        <is>
          <t>Yes</t>
        </is>
      </c>
      <c r="Q14" s="4" t="n"/>
      <c r="R14" s="4" t="n"/>
      <c r="S14" s="15" t="inlineStr">
        <is>
          <t>Yes</t>
        </is>
      </c>
      <c r="T14" s="18" t="n">
        <v>46276</v>
      </c>
      <c r="U14" s="6">
        <f>IF(OR(B14="",F14="Excluded",S14&lt;&gt;"Yes",T14="",AND(AK14="Yes",M14="")),"",IF(N(IF(AI14="Delivery",M14,IF(OR(M14="",N(AH14)=0),"",MAX(M14,AH14))))=0,IF(Config!$C$14&lt;=T14,"Pending","No"),IF(IF(AI14="Delivery",M14,IF(OR(M14="",N(AH14)=0),"",MAX(M14,AH14)))&lt;=T14,"Yes","No")))</f>
        <v/>
      </c>
      <c r="V14" s="15" t="inlineStr">
        <is>
          <t>Yes</t>
        </is>
      </c>
      <c r="W14" s="18" t="n">
        <v>46276</v>
      </c>
      <c r="X14" s="6">
        <f>IF(OR(B14="",F14="Excluded",V14&lt;&gt;"Yes",W14="",AND(AK14="Yes",M14="")),"",IF(N(IF(Config!$C$24="Handover",IF(OR(M14="",N(AH14)=0),"",MAX(M14,AH14)),M14))=0,IF(Config!$C$14&lt;=W14,"Pending","No"),IF(IF(Config!$C$24="Handover",IF(OR(M14="",N(AH14)=0),"",MAX(M14,AH14)),M14)&lt;=W14,"Yes","No")))</f>
        <v/>
      </c>
      <c r="Y14" s="15" t="inlineStr">
        <is>
          <t>No</t>
        </is>
      </c>
      <c r="Z14" s="21" t="n">
        <v>0</v>
      </c>
      <c r="AA14" s="4" t="n"/>
      <c r="AB14" s="4" t="n"/>
      <c r="AC14" s="4" t="inlineStr">
        <is>
          <t>Original plan: 07/29</t>
        </is>
      </c>
      <c r="AD14" s="20" t="n"/>
      <c r="AE14" s="20" t="n"/>
      <c r="AF14" s="4" t="inlineStr">
        <is>
          <t>Closed</t>
        </is>
      </c>
      <c r="AG14" s="4" t="inlineStr">
        <is>
          <t>type: on the board but in neither the plan nor the approved additions (not confirmed)</t>
        </is>
      </c>
      <c r="AH14" s="11">
        <f>IF(B14="","",IFERROR(INDEX(Periods!$H$5:$H$200,MATCH($B14,Periods!$B$5:$B$200,0)),""))</f>
        <v/>
      </c>
      <c r="AI14" s="11">
        <f>IF(B14="","",IF(COUNTIFS(Periods!$B$5:$B$200,$B14,Periods!$N$5:$N$200,"Handover")&gt;0,"Handover",IF(COUNTIFS(Periods!$B$5:$B$200,$B14,Periods!$N$5:$N$200,"Delivery")&gt;0,"Delivery",Config!$C$42)))</f>
        <v/>
      </c>
      <c r="AJ14" s="11" t="inlineStr">
        <is>
          <t>1200000000000011</t>
        </is>
      </c>
      <c r="AK14" s="4" t="inlineStr">
        <is>
          <t>No</t>
        </is>
      </c>
      <c r="AL14" s="4" t="inlineStr">
        <is>
          <t>No</t>
        </is>
      </c>
      <c r="AM14" s="4" t="inlineStr">
        <is>
          <t>No group</t>
        </is>
      </c>
      <c r="AN14" s="11" t="n"/>
      <c r="AO14" s="11">
        <f>IF(OR(B14="",N(M14)=0),"No",IF(Config!$C$18="Story Points",IF(AND(F14&lt;&gt;"Excluded",LEN(I14)=0),"Yes","No"),IF(AND(OR(AND(F14&lt;&gt;"Excluded",AM14="No group"),AL14="Yes"),OR(LEN(AD14)=0,AND(Config!$C$19="Dev + QA",N(N14)&gt;0,LEN(AE14)=0))),"Yes","No")))</f>
        <v/>
      </c>
      <c r="AP14" s="14" t="n">
        <v>46240</v>
      </c>
    </row>
    <row r="15">
      <c r="A15" s="6">
        <f>IF(B15="","",ROW()-3)</f>
        <v/>
      </c>
      <c r="B15" s="15" t="inlineStr">
        <is>
          <t>Initial Scope</t>
        </is>
      </c>
      <c r="C15" s="4" t="n"/>
      <c r="D15" s="13" t="inlineStr">
        <is>
          <t>Open</t>
        </is>
      </c>
      <c r="E15" s="4" t="inlineStr">
        <is>
          <t>[QA] Checklist for release 4.2</t>
        </is>
      </c>
      <c r="F15" s="15" t="inlineStr">
        <is>
          <t>Excluded</t>
        </is>
      </c>
      <c r="G15" s="15" t="n"/>
      <c r="H15" s="8">
        <f>IF(OR(B15="",AND(AD15="",AE15="")),"",N(AD15)+IF(AND(Config!$C$19="Dev + QA",N15&lt;&gt;""),N(AE15),0))</f>
        <v/>
      </c>
      <c r="I15" s="20" t="n"/>
      <c r="J15" s="4" t="n"/>
      <c r="K15" s="4" t="inlineStr">
        <is>
          <t>Sample Developer</t>
        </is>
      </c>
      <c r="L15" s="14" t="n">
        <v>46204</v>
      </c>
      <c r="M15" s="15" t="n"/>
      <c r="N15" s="18" t="n">
        <v>46204</v>
      </c>
      <c r="O15" s="6">
        <f>IF(B15="","",IF(M15&lt;&gt;"","Done","Open"))</f>
        <v/>
      </c>
      <c r="P15" s="15" t="n"/>
      <c r="Q15" s="4" t="n"/>
      <c r="R15" s="4" t="n"/>
      <c r="S15" s="15" t="n"/>
      <c r="T15" s="15" t="n"/>
      <c r="U15" s="6">
        <f>IF(OR(B15="",F15="Excluded",S15&lt;&gt;"Yes",T15="",AND(AK15="Yes",M15="")),"",IF(N(IF(AI15="Delivery",M15,IF(OR(M15="",N(AH15)=0),"",MAX(M15,AH15))))=0,IF(Config!$C$14&lt;=T15,"Pending","No"),IF(IF(AI15="Delivery",M15,IF(OR(M15="",N(AH15)=0),"",MAX(M15,AH15)))&lt;=T15,"Yes","No")))</f>
        <v/>
      </c>
      <c r="V15" s="15" t="n"/>
      <c r="W15" s="15" t="n"/>
      <c r="X15" s="6">
        <f>IF(OR(B15="",F15="Excluded",V15&lt;&gt;"Yes",W15="",AND(AK15="Yes",M15="")),"",IF(N(IF(Config!$C$24="Handover",IF(OR(M15="",N(AH15)=0),"",MAX(M15,AH15)),M15))=0,IF(Config!$C$14&lt;=W15,"Pending","No"),IF(IF(Config!$C$24="Handover",IF(OR(M15="",N(AH15)=0),"",MAX(M15,AH15)),M15)&lt;=W15,"Yes","No")))</f>
        <v/>
      </c>
      <c r="Y15" s="15" t="n"/>
      <c r="Z15" s="21" t="n"/>
      <c r="AA15" s="4" t="n"/>
      <c r="AB15" s="4" t="n"/>
      <c r="AC15" s="4" t="inlineStr">
        <is>
          <t>Title matches the exclude pattern ^\[QA\]</t>
        </is>
      </c>
      <c r="AD15" s="20" t="n"/>
      <c r="AE15" s="20" t="n"/>
      <c r="AF15" s="4" t="inlineStr">
        <is>
          <t>Closed</t>
        </is>
      </c>
      <c r="AG15" s="4" t="n"/>
      <c r="AH15" s="11">
        <f>IF(B15="","",IFERROR(INDEX(Periods!$H$5:$H$200,MATCH($B15,Periods!$B$5:$B$200,0)),""))</f>
        <v/>
      </c>
      <c r="AI15" s="11">
        <f>IF(B15="","",IF(COUNTIFS(Periods!$B$5:$B$200,$B15,Periods!$N$5:$N$200,"Handover")&gt;0,"Handover",IF(COUNTIFS(Periods!$B$5:$B$200,$B15,Periods!$N$5:$N$200,"Delivery")&gt;0,"Delivery",Config!$C$42)))</f>
        <v/>
      </c>
      <c r="AJ15" s="11" t="inlineStr">
        <is>
          <t>1200000000000012</t>
        </is>
      </c>
      <c r="AK15" s="4" t="inlineStr">
        <is>
          <t>No</t>
        </is>
      </c>
      <c r="AL15" s="4" t="inlineStr">
        <is>
          <t>No</t>
        </is>
      </c>
      <c r="AM15" s="4" t="inlineStr">
        <is>
          <t>No group</t>
        </is>
      </c>
      <c r="AN15" s="11" t="n"/>
      <c r="AO15" s="11">
        <f>IF(OR(B15="",N(M15)=0),"No",IF(Config!$C$18="Story Points",IF(AND(F15&lt;&gt;"Excluded",LEN(I15)=0),"Yes","No"),IF(AND(OR(AND(F15&lt;&gt;"Excluded",AM15="No group"),AL15="Yes"),OR(LEN(AD15)=0,AND(Config!$C$19="Dev + QA",N(N15)&gt;0,LEN(AE15)=0))),"Yes","No")))</f>
        <v/>
      </c>
      <c r="AP15" s="14" t="n">
        <v>46204</v>
      </c>
    </row>
    <row r="16">
      <c r="A16" s="6">
        <f>IF(B16="","",ROW()-3)</f>
        <v/>
      </c>
      <c r="B16" s="15" t="inlineStr">
        <is>
          <t>Initial Scope</t>
        </is>
      </c>
      <c r="C16" s="4" t="n"/>
      <c r="D16" s="13" t="inlineStr">
        <is>
          <t>Open</t>
        </is>
      </c>
      <c r="E16" s="4" t="inlineStr">
        <is>
          <t>Milestone 1</t>
        </is>
      </c>
      <c r="F16" s="15" t="inlineStr">
        <is>
          <t>Excluded</t>
        </is>
      </c>
      <c r="G16" s="15" t="n"/>
      <c r="H16" s="8">
        <f>IF(OR(B16="",AND(AD16="",AE16="")),"",N(AD16)+IF(AND(Config!$C$19="Dev + QA",N16&lt;&gt;""),N(AE16),0))</f>
        <v/>
      </c>
      <c r="I16" s="20" t="n"/>
      <c r="J16" s="4" t="n"/>
      <c r="K16" s="4" t="inlineStr">
        <is>
          <t>Sample Developer</t>
        </is>
      </c>
      <c r="L16" s="14" t="n">
        <v>46191</v>
      </c>
      <c r="M16" s="15" t="n"/>
      <c r="N16" s="18" t="n">
        <v>46191</v>
      </c>
      <c r="O16" s="6">
        <f>IF(B16="","",IF(M16&lt;&gt;"","Done","Open"))</f>
        <v/>
      </c>
      <c r="P16" s="15" t="n"/>
      <c r="Q16" s="4" t="n"/>
      <c r="R16" s="4" t="n"/>
      <c r="S16" s="15" t="n"/>
      <c r="T16" s="15" t="n"/>
      <c r="U16" s="6">
        <f>IF(OR(B16="",F16="Excluded",S16&lt;&gt;"Yes",T16="",AND(AK16="Yes",M16="")),"",IF(N(IF(AI16="Delivery",M16,IF(OR(M16="",N(AH16)=0),"",MAX(M16,AH16))))=0,IF(Config!$C$14&lt;=T16,"Pending","No"),IF(IF(AI16="Delivery",M16,IF(OR(M16="",N(AH16)=0),"",MAX(M16,AH16)))&lt;=T16,"Yes","No")))</f>
        <v/>
      </c>
      <c r="V16" s="15" t="n"/>
      <c r="W16" s="15" t="n"/>
      <c r="X16" s="6">
        <f>IF(OR(B16="",F16="Excluded",V16&lt;&gt;"Yes",W16="",AND(AK16="Yes",M16="")),"",IF(N(IF(Config!$C$24="Handover",IF(OR(M16="",N(AH16)=0),"",MAX(M16,AH16)),M16))=0,IF(Config!$C$14&lt;=W16,"Pending","No"),IF(IF(Config!$C$24="Handover",IF(OR(M16="",N(AH16)=0),"",MAX(M16,AH16)),M16)&lt;=W16,"Yes","No")))</f>
        <v/>
      </c>
      <c r="Y16" s="15" t="n"/>
      <c r="Z16" s="21" t="n"/>
      <c r="AA16" s="4" t="n"/>
      <c r="AB16" s="4" t="n"/>
      <c r="AC16" s="4" t="inlineStr">
        <is>
          <t>An Asana milestone marker, not a deliverable</t>
        </is>
      </c>
      <c r="AD16" s="20" t="n"/>
      <c r="AE16" s="20" t="n"/>
      <c r="AF16" s="4" t="inlineStr">
        <is>
          <t>Closed</t>
        </is>
      </c>
      <c r="AG16" s="4" t="n"/>
      <c r="AH16" s="11">
        <f>IF(B16="","",IFERROR(INDEX(Periods!$H$5:$H$200,MATCH($B16,Periods!$B$5:$B$200,0)),""))</f>
        <v/>
      </c>
      <c r="AI16" s="11">
        <f>IF(B16="","",IF(COUNTIFS(Periods!$B$5:$B$200,$B16,Periods!$N$5:$N$200,"Handover")&gt;0,"Handover",IF(COUNTIFS(Periods!$B$5:$B$200,$B16,Periods!$N$5:$N$200,"Delivery")&gt;0,"Delivery",Config!$C$42)))</f>
        <v/>
      </c>
      <c r="AJ16" s="11" t="inlineStr">
        <is>
          <t>1200000000000013</t>
        </is>
      </c>
      <c r="AK16" s="4" t="inlineStr">
        <is>
          <t>No</t>
        </is>
      </c>
      <c r="AL16" s="4" t="inlineStr">
        <is>
          <t>No</t>
        </is>
      </c>
      <c r="AM16" s="4" t="inlineStr">
        <is>
          <t>No group</t>
        </is>
      </c>
      <c r="AN16" s="11" t="n"/>
      <c r="AO16" s="11">
        <f>IF(OR(B16="",N(M16)=0),"No",IF(Config!$C$18="Story Points",IF(AND(F16&lt;&gt;"Excluded",LEN(I16)=0),"Yes","No"),IF(AND(OR(AND(F16&lt;&gt;"Excluded",AM16="No group"),AL16="Yes"),OR(LEN(AD16)=0,AND(Config!$C$19="Dev + QA",N(N16)&gt;0,LEN(AE16)=0))),"Yes","No")))</f>
        <v/>
      </c>
      <c r="AP16" s="14" t="n">
        <v>46191</v>
      </c>
    </row>
    <row r="17">
      <c r="A17" s="6">
        <f>IF(B17="","",ROW()-3)</f>
        <v/>
      </c>
      <c r="B17" s="15" t="inlineStr">
        <is>
          <t>Initial Scope</t>
        </is>
      </c>
      <c r="C17" s="4" t="n"/>
      <c r="D17" s="13" t="inlineStr">
        <is>
          <t>Open</t>
        </is>
      </c>
      <c r="E17" s="4" t="inlineStr">
        <is>
          <t>Regression Testing round 2</t>
        </is>
      </c>
      <c r="F17" s="15" t="inlineStr">
        <is>
          <t>Excluded</t>
        </is>
      </c>
      <c r="G17" s="15" t="n"/>
      <c r="H17" s="8">
        <f>IF(OR(B17="",AND(AD17="",AE17="")),"",N(AD17)+IF(AND(Config!$C$19="Dev + QA",N17&lt;&gt;""),N(AE17),0))</f>
        <v/>
      </c>
      <c r="I17" s="20" t="n"/>
      <c r="J17" s="4" t="n"/>
      <c r="K17" s="4" t="inlineStr">
        <is>
          <t>Sample Developer</t>
        </is>
      </c>
      <c r="L17" s="14" t="n">
        <v>46240</v>
      </c>
      <c r="M17" s="15" t="n"/>
      <c r="N17" s="18" t="n">
        <v>46240</v>
      </c>
      <c r="O17" s="6">
        <f>IF(B17="","",IF(M17&lt;&gt;"","Done","Open"))</f>
        <v/>
      </c>
      <c r="P17" s="15" t="n"/>
      <c r="Q17" s="4" t="n"/>
      <c r="R17" s="4" t="n"/>
      <c r="S17" s="15" t="n"/>
      <c r="T17" s="15" t="n"/>
      <c r="U17" s="6">
        <f>IF(OR(B17="",F17="Excluded",S17&lt;&gt;"Yes",T17="",AND(AK17="Yes",M17="")),"",IF(N(IF(AI17="Delivery",M17,IF(OR(M17="",N(AH17)=0),"",MAX(M17,AH17))))=0,IF(Config!$C$14&lt;=T17,"Pending","No"),IF(IF(AI17="Delivery",M17,IF(OR(M17="",N(AH17)=0),"",MAX(M17,AH17)))&lt;=T17,"Yes","No")))</f>
        <v/>
      </c>
      <c r="V17" s="15" t="n"/>
      <c r="W17" s="15" t="n"/>
      <c r="X17" s="6">
        <f>IF(OR(B17="",F17="Excluded",V17&lt;&gt;"Yes",W17="",AND(AK17="Yes",M17="")),"",IF(N(IF(Config!$C$24="Handover",IF(OR(M17="",N(AH17)=0),"",MAX(M17,AH17)),M17))=0,IF(Config!$C$14&lt;=W17,"Pending","No"),IF(IF(Config!$C$24="Handover",IF(OR(M17="",N(AH17)=0),"",MAX(M17,AH17)),M17)&lt;=W17,"Yes","No")))</f>
        <v/>
      </c>
      <c r="Y17" s="15" t="n"/>
      <c r="Z17" s="21" t="n"/>
      <c r="AA17" s="4" t="n"/>
      <c r="AB17" s="4" t="n"/>
      <c r="AC17" s="4" t="inlineStr">
        <is>
          <t>Title matches the exclude pattern ^Regression Testing</t>
        </is>
      </c>
      <c r="AD17" s="20" t="n"/>
      <c r="AE17" s="20" t="n"/>
      <c r="AF17" s="4" t="inlineStr">
        <is>
          <t>Closed</t>
        </is>
      </c>
      <c r="AG17" s="4" t="n"/>
      <c r="AH17" s="11">
        <f>IF(B17="","",IFERROR(INDEX(Periods!$H$5:$H$200,MATCH($B17,Periods!$B$5:$B$200,0)),""))</f>
        <v/>
      </c>
      <c r="AI17" s="11">
        <f>IF(B17="","",IF(COUNTIFS(Periods!$B$5:$B$200,$B17,Periods!$N$5:$N$200,"Handover")&gt;0,"Handover",IF(COUNTIFS(Periods!$B$5:$B$200,$B17,Periods!$N$5:$N$200,"Delivery")&gt;0,"Delivery",Config!$C$42)))</f>
        <v/>
      </c>
      <c r="AJ17" s="11" t="inlineStr">
        <is>
          <t>1200000000000014</t>
        </is>
      </c>
      <c r="AK17" s="4" t="inlineStr">
        <is>
          <t>No</t>
        </is>
      </c>
      <c r="AL17" s="4" t="inlineStr">
        <is>
          <t>No</t>
        </is>
      </c>
      <c r="AM17" s="4" t="inlineStr">
        <is>
          <t>No group</t>
        </is>
      </c>
      <c r="AN17" s="11" t="n"/>
      <c r="AO17" s="11">
        <f>IF(OR(B17="",N(M17)=0),"No",IF(Config!$C$18="Story Points",IF(AND(F17&lt;&gt;"Excluded",LEN(I17)=0),"Yes","No"),IF(AND(OR(AND(F17&lt;&gt;"Excluded",AM17="No group"),AL17="Yes"),OR(LEN(AD17)=0,AND(Config!$C$19="Dev + QA",N(N17)&gt;0,LEN(AE17)=0))),"Yes","No")))</f>
        <v/>
      </c>
      <c r="AP17" s="14" t="n">
        <v>46240</v>
      </c>
    </row>
    <row r="18">
      <c r="A18" s="6">
        <f>IF(B18="","",ROW()-3)</f>
        <v/>
      </c>
      <c r="B18" s="15" t="inlineStr">
        <is>
          <t>Initial Scope</t>
        </is>
      </c>
      <c r="C18" s="4" t="inlineStr">
        <is>
          <t>Plan item</t>
        </is>
      </c>
      <c r="D18" s="4" t="n"/>
      <c r="E18" s="4" t="inlineStr">
        <is>
          <t>Delivery documentation</t>
        </is>
      </c>
      <c r="F18" s="15" t="inlineStr">
        <is>
          <t>Task</t>
        </is>
      </c>
      <c r="G18" s="15" t="inlineStr">
        <is>
          <t>Yes</t>
        </is>
      </c>
      <c r="H18" s="8">
        <f>IF(OR(B18="",AND(AD18="",AE18="")),"",N(AD18)+IF(AND(Config!$C$19="Dev + QA",N18&lt;&gt;""),N(AE18),0))</f>
        <v/>
      </c>
      <c r="I18" s="20" t="n"/>
      <c r="J18" s="4" t="inlineStr">
        <is>
          <t>Project plan</t>
        </is>
      </c>
      <c r="K18" s="4" t="n"/>
      <c r="L18" s="4" t="n"/>
      <c r="M18" s="15" t="n"/>
      <c r="N18" s="15" t="n"/>
      <c r="O18" s="6">
        <f>IF(B18="","",IF(M18&lt;&gt;"","Done","Open"))</f>
        <v/>
      </c>
      <c r="P18" s="15" t="n"/>
      <c r="Q18" s="4" t="n"/>
      <c r="R18" s="4" t="n"/>
      <c r="S18" s="15" t="inlineStr">
        <is>
          <t>Yes</t>
        </is>
      </c>
      <c r="T18" s="18" t="n">
        <v>46276</v>
      </c>
      <c r="U18" s="6">
        <f>IF(OR(B18="",F18="Excluded",S18&lt;&gt;"Yes",T18="",AND(AK18="Yes",M18="")),"",IF(N(IF(AI18="Delivery",M18,IF(OR(M18="",N(AH18)=0),"",MAX(M18,AH18))))=0,IF(Config!$C$14&lt;=T18,"Pending","No"),IF(IF(AI18="Delivery",M18,IF(OR(M18="",N(AH18)=0),"",MAX(M18,AH18)))&lt;=T18,"Yes","No")))</f>
        <v/>
      </c>
      <c r="V18" s="15" t="inlineStr">
        <is>
          <t>Yes</t>
        </is>
      </c>
      <c r="W18" s="18" t="n">
        <v>46276</v>
      </c>
      <c r="X18" s="6">
        <f>IF(OR(B18="",F18="Excluded",V18&lt;&gt;"Yes",W18="",AND(AK18="Yes",M18="")),"",IF(N(IF(Config!$C$24="Handover",IF(OR(M18="",N(AH18)=0),"",MAX(M18,AH18)),M18))=0,IF(Config!$C$14&lt;=W18,"Pending","No"),IF(IF(Config!$C$24="Handover",IF(OR(M18="",N(AH18)=0),"",MAX(M18,AH18)),M18)&lt;=W18,"Yes","No")))</f>
        <v/>
      </c>
      <c r="Y18" s="15" t="n"/>
      <c r="Z18" s="21" t="n"/>
      <c r="AA18" s="4" t="n"/>
      <c r="AB18" s="4" t="n"/>
      <c r="AC18" s="4" t="inlineStr">
        <is>
          <t>In the plan with no card of its own on the board</t>
        </is>
      </c>
      <c r="AD18" s="20" t="n">
        <v>6</v>
      </c>
      <c r="AE18" s="20" t="n">
        <v>0</v>
      </c>
      <c r="AF18" s="4" t="inlineStr">
        <is>
          <t>Not on the board</t>
        </is>
      </c>
      <c r="AG18" s="4" t="inlineStr">
        <is>
          <t>no card on the board; delivery date not known</t>
        </is>
      </c>
      <c r="AH18" s="11">
        <f>IF(B18="","",IFERROR(INDEX(Periods!$H$5:$H$200,MATCH($B18,Periods!$B$5:$B$200,0)),""))</f>
        <v/>
      </c>
      <c r="AI18" s="11">
        <f>IF(B18="","",IF(COUNTIFS(Periods!$B$5:$B$200,$B18,Periods!$N$5:$N$200,"Handover")&gt;0,"Handover",IF(COUNTIFS(Periods!$B$5:$B$200,$B18,Periods!$N$5:$N$200,"Delivery")&gt;0,"Delivery",Config!$C$42)))</f>
        <v/>
      </c>
      <c r="AJ18" s="11" t="inlineStr">
        <is>
          <t>plan:deliverydocumentation</t>
        </is>
      </c>
      <c r="AK18" s="4" t="inlineStr">
        <is>
          <t>Yes</t>
        </is>
      </c>
      <c r="AL18" s="4" t="inlineStr">
        <is>
          <t>No</t>
        </is>
      </c>
      <c r="AM18" s="4" t="inlineStr">
        <is>
          <t>No group</t>
        </is>
      </c>
      <c r="AN18" s="11" t="n"/>
      <c r="AO18" s="11">
        <f>IF(OR(B18="",N(M18)=0),"No",IF(Config!$C$18="Story Points",IF(AND(F18&lt;&gt;"Excluded",LEN(I18)=0),"Yes","No"),IF(AND(OR(AND(F18&lt;&gt;"Excluded",AM18="No group"),AL18="Yes"),OR(LEN(AD18)=0,AND(Config!$C$19="Dev + QA",N(N18)&gt;0,LEN(AE18)=0))),"Yes","No")))</f>
        <v/>
      </c>
      <c r="AP18" s="4" t="n"/>
    </row>
    <row r="19">
      <c r="A19" s="6">
        <f>IF(B19="","",ROW()-3)</f>
        <v/>
      </c>
      <c r="B19" s="15" t="n"/>
      <c r="C19" s="4" t="n"/>
      <c r="D19" s="4" t="n"/>
      <c r="E19" s="4" t="n"/>
      <c r="F19" s="15" t="n"/>
      <c r="G19" s="15" t="n"/>
      <c r="H19" s="8">
        <f>IF(OR(B19="",AND(AD19="",AE19="")),"",N(AD19)+IF(AND(Config!$C$19="Dev + QA",N19&lt;&gt;""),N(AE19),0))</f>
        <v/>
      </c>
      <c r="I19" s="20" t="n"/>
      <c r="J19" s="4" t="n"/>
      <c r="K19" s="4" t="n"/>
      <c r="L19" s="4" t="n"/>
      <c r="M19" s="15" t="n"/>
      <c r="N19" s="15" t="n"/>
      <c r="O19" s="6">
        <f>IF(B19="","",IF(M19&lt;&gt;"","Done","Open"))</f>
        <v/>
      </c>
      <c r="P19" s="15" t="n"/>
      <c r="Q19" s="4" t="n"/>
      <c r="R19" s="4" t="n"/>
      <c r="S19" s="15" t="n"/>
      <c r="T19" s="15" t="n"/>
      <c r="U19" s="6">
        <f>IF(OR(B19="",F19="Excluded",S19&lt;&gt;"Yes",T19="",AND(AK19="Yes",M19="")),"",IF(N(IF(AI19="Delivery",M19,IF(OR(M19="",N(AH19)=0),"",MAX(M19,AH19))))=0,IF(Config!$C$14&lt;=T19,"Pending","No"),IF(IF(AI19="Delivery",M19,IF(OR(M19="",N(AH19)=0),"",MAX(M19,AH19)))&lt;=T19,"Yes","No")))</f>
        <v/>
      </c>
      <c r="V19" s="15" t="n"/>
      <c r="W19" s="15" t="n"/>
      <c r="X19" s="6">
        <f>IF(OR(B19="",F19="Excluded",V19&lt;&gt;"Yes",W19="",AND(AK19="Yes",M19="")),"",IF(N(IF(Config!$C$24="Handover",IF(OR(M19="",N(AH19)=0),"",MAX(M19,AH19)),M19))=0,IF(Config!$C$14&lt;=W19,"Pending","No"),IF(IF(Config!$C$24="Handover",IF(OR(M19="",N(AH19)=0),"",MAX(M19,AH19)),M19)&lt;=W19,"Yes","No")))</f>
        <v/>
      </c>
      <c r="Y19" s="15" t="n"/>
      <c r="Z19" s="21" t="n"/>
      <c r="AA19" s="4" t="n"/>
      <c r="AB19" s="4" t="n"/>
      <c r="AC19" s="4" t="n"/>
      <c r="AD19" s="20" t="n"/>
      <c r="AE19" s="20" t="n"/>
      <c r="AF19" s="4" t="n"/>
      <c r="AG19" s="4" t="n"/>
      <c r="AH19" s="11">
        <f>IF(B19="","",IFERROR(INDEX(Periods!$H$5:$H$200,MATCH($B19,Periods!$B$5:$B$200,0)),""))</f>
        <v/>
      </c>
      <c r="AI19" s="11">
        <f>IF(B19="","",IF(COUNTIFS(Periods!$B$5:$B$200,$B19,Periods!$N$5:$N$200,"Handover")&gt;0,"Handover",IF(COUNTIFS(Periods!$B$5:$B$200,$B19,Periods!$N$5:$N$200,"Delivery")&gt;0,"Delivery",Config!$C$42)))</f>
        <v/>
      </c>
      <c r="AJ19" s="11" t="n"/>
      <c r="AK19" s="4" t="n"/>
      <c r="AL19" s="4" t="n"/>
      <c r="AM19" s="4" t="n"/>
      <c r="AN19" s="11" t="n"/>
      <c r="AO19" s="11">
        <f>IF(OR(B19="",N(M19)=0),"No",IF(Config!$C$18="Story Points",IF(AND(F19&lt;&gt;"Excluded",LEN(I19)=0),"Yes","No"),IF(AND(OR(AND(F19&lt;&gt;"Excluded",AM19="No group"),AL19="Yes"),OR(LEN(AD19)=0,AND(Config!$C$19="Dev + QA",N(N19)&gt;0,LEN(AE19)=0))),"Yes","No")))</f>
        <v/>
      </c>
      <c r="AP19" s="4" t="n"/>
    </row>
    <row r="20">
      <c r="A20" s="6">
        <f>IF(B20="","",ROW()-3)</f>
        <v/>
      </c>
      <c r="B20" s="15" t="n"/>
      <c r="C20" s="4" t="n"/>
      <c r="D20" s="4" t="n"/>
      <c r="E20" s="4" t="n"/>
      <c r="F20" s="15" t="n"/>
      <c r="G20" s="15" t="n"/>
      <c r="H20" s="8">
        <f>IF(OR(B20="",AND(AD20="",AE20="")),"",N(AD20)+IF(AND(Config!$C$19="Dev + QA",N20&lt;&gt;""),N(AE20),0))</f>
        <v/>
      </c>
      <c r="I20" s="20" t="n"/>
      <c r="J20" s="4" t="n"/>
      <c r="K20" s="4" t="n"/>
      <c r="L20" s="4" t="n"/>
      <c r="M20" s="15" t="n"/>
      <c r="N20" s="15" t="n"/>
      <c r="O20" s="6">
        <f>IF(B20="","",IF(M20&lt;&gt;"","Done","Open"))</f>
        <v/>
      </c>
      <c r="P20" s="15" t="n"/>
      <c r="Q20" s="4" t="n"/>
      <c r="R20" s="4" t="n"/>
      <c r="S20" s="15" t="n"/>
      <c r="T20" s="15" t="n"/>
      <c r="U20" s="6">
        <f>IF(OR(B20="",F20="Excluded",S20&lt;&gt;"Yes",T20="",AND(AK20="Yes",M20="")),"",IF(N(IF(AI20="Delivery",M20,IF(OR(M20="",N(AH20)=0),"",MAX(M20,AH20))))=0,IF(Config!$C$14&lt;=T20,"Pending","No"),IF(IF(AI20="Delivery",M20,IF(OR(M20="",N(AH20)=0),"",MAX(M20,AH20)))&lt;=T20,"Yes","No")))</f>
        <v/>
      </c>
      <c r="V20" s="15" t="n"/>
      <c r="W20" s="15" t="n"/>
      <c r="X20" s="6">
        <f>IF(OR(B20="",F20="Excluded",V20&lt;&gt;"Yes",W20="",AND(AK20="Yes",M20="")),"",IF(N(IF(Config!$C$24="Handover",IF(OR(M20="",N(AH20)=0),"",MAX(M20,AH20)),M20))=0,IF(Config!$C$14&lt;=W20,"Pending","No"),IF(IF(Config!$C$24="Handover",IF(OR(M20="",N(AH20)=0),"",MAX(M20,AH20)),M20)&lt;=W20,"Yes","No")))</f>
        <v/>
      </c>
      <c r="Y20" s="15" t="n"/>
      <c r="Z20" s="21" t="n"/>
      <c r="AA20" s="4" t="n"/>
      <c r="AB20" s="4" t="n"/>
      <c r="AC20" s="4" t="n"/>
      <c r="AD20" s="20" t="n"/>
      <c r="AE20" s="20" t="n"/>
      <c r="AF20" s="4" t="n"/>
      <c r="AG20" s="4" t="n"/>
      <c r="AH20" s="11">
        <f>IF(B20="","",IFERROR(INDEX(Periods!$H$5:$H$200,MATCH($B20,Periods!$B$5:$B$200,0)),""))</f>
        <v/>
      </c>
      <c r="AI20" s="11">
        <f>IF(B20="","",IF(COUNTIFS(Periods!$B$5:$B$200,$B20,Periods!$N$5:$N$200,"Handover")&gt;0,"Handover",IF(COUNTIFS(Periods!$B$5:$B$200,$B20,Periods!$N$5:$N$200,"Delivery")&gt;0,"Delivery",Config!$C$42)))</f>
        <v/>
      </c>
      <c r="AJ20" s="11" t="n"/>
      <c r="AK20" s="4" t="n"/>
      <c r="AL20" s="4" t="n"/>
      <c r="AM20" s="4" t="n"/>
      <c r="AN20" s="11" t="n"/>
      <c r="AO20" s="11">
        <f>IF(OR(B20="",N(M20)=0),"No",IF(Config!$C$18="Story Points",IF(AND(F20&lt;&gt;"Excluded",LEN(I20)=0),"Yes","No"),IF(AND(OR(AND(F20&lt;&gt;"Excluded",AM20="No group"),AL20="Yes"),OR(LEN(AD20)=0,AND(Config!$C$19="Dev + QA",N(N20)&gt;0,LEN(AE20)=0))),"Yes","No")))</f>
        <v/>
      </c>
      <c r="AP20" s="4" t="n"/>
    </row>
    <row r="21">
      <c r="A21" s="6">
        <f>IF(B21="","",ROW()-3)</f>
        <v/>
      </c>
      <c r="B21" s="15" t="n"/>
      <c r="C21" s="4" t="n"/>
      <c r="D21" s="4" t="n"/>
      <c r="E21" s="4" t="n"/>
      <c r="F21" s="15" t="n"/>
      <c r="G21" s="15" t="n"/>
      <c r="H21" s="8">
        <f>IF(OR(B21="",AND(AD21="",AE21="")),"",N(AD21)+IF(AND(Config!$C$19="Dev + QA",N21&lt;&gt;""),N(AE21),0))</f>
        <v/>
      </c>
      <c r="I21" s="20" t="n"/>
      <c r="J21" s="4" t="n"/>
      <c r="K21" s="4" t="n"/>
      <c r="L21" s="4" t="n"/>
      <c r="M21" s="15" t="n"/>
      <c r="N21" s="15" t="n"/>
      <c r="O21" s="6">
        <f>IF(B21="","",IF(M21&lt;&gt;"","Done","Open"))</f>
        <v/>
      </c>
      <c r="P21" s="15" t="n"/>
      <c r="Q21" s="4" t="n"/>
      <c r="R21" s="4" t="n"/>
      <c r="S21" s="15" t="n"/>
      <c r="T21" s="15" t="n"/>
      <c r="U21" s="6">
        <f>IF(OR(B21="",F21="Excluded",S21&lt;&gt;"Yes",T21="",AND(AK21="Yes",M21="")),"",IF(N(IF(AI21="Delivery",M21,IF(OR(M21="",N(AH21)=0),"",MAX(M21,AH21))))=0,IF(Config!$C$14&lt;=T21,"Pending","No"),IF(IF(AI21="Delivery",M21,IF(OR(M21="",N(AH21)=0),"",MAX(M21,AH21)))&lt;=T21,"Yes","No")))</f>
        <v/>
      </c>
      <c r="V21" s="15" t="n"/>
      <c r="W21" s="15" t="n"/>
      <c r="X21" s="6">
        <f>IF(OR(B21="",F21="Excluded",V21&lt;&gt;"Yes",W21="",AND(AK21="Yes",M21="")),"",IF(N(IF(Config!$C$24="Handover",IF(OR(M21="",N(AH21)=0),"",MAX(M21,AH21)),M21))=0,IF(Config!$C$14&lt;=W21,"Pending","No"),IF(IF(Config!$C$24="Handover",IF(OR(M21="",N(AH21)=0),"",MAX(M21,AH21)),M21)&lt;=W21,"Yes","No")))</f>
        <v/>
      </c>
      <c r="Y21" s="15" t="n"/>
      <c r="Z21" s="21" t="n"/>
      <c r="AA21" s="4" t="n"/>
      <c r="AB21" s="4" t="n"/>
      <c r="AC21" s="4" t="n"/>
      <c r="AD21" s="20" t="n"/>
      <c r="AE21" s="20" t="n"/>
      <c r="AF21" s="4" t="n"/>
      <c r="AG21" s="4" t="n"/>
      <c r="AH21" s="11">
        <f>IF(B21="","",IFERROR(INDEX(Periods!$H$5:$H$200,MATCH($B21,Periods!$B$5:$B$200,0)),""))</f>
        <v/>
      </c>
      <c r="AI21" s="11">
        <f>IF(B21="","",IF(COUNTIFS(Periods!$B$5:$B$200,$B21,Periods!$N$5:$N$200,"Handover")&gt;0,"Handover",IF(COUNTIFS(Periods!$B$5:$B$200,$B21,Periods!$N$5:$N$200,"Delivery")&gt;0,"Delivery",Config!$C$42)))</f>
        <v/>
      </c>
      <c r="AJ21" s="11" t="n"/>
      <c r="AK21" s="4" t="n"/>
      <c r="AL21" s="4" t="n"/>
      <c r="AM21" s="4" t="n"/>
      <c r="AN21" s="11" t="n"/>
      <c r="AO21" s="11">
        <f>IF(OR(B21="",N(M21)=0),"No",IF(Config!$C$18="Story Points",IF(AND(F21&lt;&gt;"Excluded",LEN(I21)=0),"Yes","No"),IF(AND(OR(AND(F21&lt;&gt;"Excluded",AM21="No group"),AL21="Yes"),OR(LEN(AD21)=0,AND(Config!$C$19="Dev + QA",N(N21)&gt;0,LEN(AE21)=0))),"Yes","No")))</f>
        <v/>
      </c>
      <c r="AP21" s="4" t="n"/>
    </row>
    <row r="22">
      <c r="A22" s="6">
        <f>IF(B22="","",ROW()-3)</f>
        <v/>
      </c>
      <c r="B22" s="15" t="n"/>
      <c r="C22" s="4" t="n"/>
      <c r="D22" s="4" t="n"/>
      <c r="E22" s="4" t="n"/>
      <c r="F22" s="15" t="n"/>
      <c r="G22" s="15" t="n"/>
      <c r="H22" s="8">
        <f>IF(OR(B22="",AND(AD22="",AE22="")),"",N(AD22)+IF(AND(Config!$C$19="Dev + QA",N22&lt;&gt;""),N(AE22),0))</f>
        <v/>
      </c>
      <c r="I22" s="20" t="n"/>
      <c r="J22" s="4" t="n"/>
      <c r="K22" s="4" t="n"/>
      <c r="L22" s="4" t="n"/>
      <c r="M22" s="15" t="n"/>
      <c r="N22" s="15" t="n"/>
      <c r="O22" s="6">
        <f>IF(B22="","",IF(M22&lt;&gt;"","Done","Open"))</f>
        <v/>
      </c>
      <c r="P22" s="15" t="n"/>
      <c r="Q22" s="4" t="n"/>
      <c r="R22" s="4" t="n"/>
      <c r="S22" s="15" t="n"/>
      <c r="T22" s="15" t="n"/>
      <c r="U22" s="6">
        <f>IF(OR(B22="",F22="Excluded",S22&lt;&gt;"Yes",T22="",AND(AK22="Yes",M22="")),"",IF(N(IF(AI22="Delivery",M22,IF(OR(M22="",N(AH22)=0),"",MAX(M22,AH22))))=0,IF(Config!$C$14&lt;=T22,"Pending","No"),IF(IF(AI22="Delivery",M22,IF(OR(M22="",N(AH22)=0),"",MAX(M22,AH22)))&lt;=T22,"Yes","No")))</f>
        <v/>
      </c>
      <c r="V22" s="15" t="n"/>
      <c r="W22" s="15" t="n"/>
      <c r="X22" s="6">
        <f>IF(OR(B22="",F22="Excluded",V22&lt;&gt;"Yes",W22="",AND(AK22="Yes",M22="")),"",IF(N(IF(Config!$C$24="Handover",IF(OR(M22="",N(AH22)=0),"",MAX(M22,AH22)),M22))=0,IF(Config!$C$14&lt;=W22,"Pending","No"),IF(IF(Config!$C$24="Handover",IF(OR(M22="",N(AH22)=0),"",MAX(M22,AH22)),M22)&lt;=W22,"Yes","No")))</f>
        <v/>
      </c>
      <c r="Y22" s="15" t="n"/>
      <c r="Z22" s="21" t="n"/>
      <c r="AA22" s="4" t="n"/>
      <c r="AB22" s="4" t="n"/>
      <c r="AC22" s="4" t="n"/>
      <c r="AD22" s="20" t="n"/>
      <c r="AE22" s="20" t="n"/>
      <c r="AF22" s="4" t="n"/>
      <c r="AG22" s="4" t="n"/>
      <c r="AH22" s="11">
        <f>IF(B22="","",IFERROR(INDEX(Periods!$H$5:$H$200,MATCH($B22,Periods!$B$5:$B$200,0)),""))</f>
        <v/>
      </c>
      <c r="AI22" s="11">
        <f>IF(B22="","",IF(COUNTIFS(Periods!$B$5:$B$200,$B22,Periods!$N$5:$N$200,"Handover")&gt;0,"Handover",IF(COUNTIFS(Periods!$B$5:$B$200,$B22,Periods!$N$5:$N$200,"Delivery")&gt;0,"Delivery",Config!$C$42)))</f>
        <v/>
      </c>
      <c r="AJ22" s="11" t="n"/>
      <c r="AK22" s="4" t="n"/>
      <c r="AL22" s="4" t="n"/>
      <c r="AM22" s="4" t="n"/>
      <c r="AN22" s="11" t="n"/>
      <c r="AO22" s="11">
        <f>IF(OR(B22="",N(M22)=0),"No",IF(Config!$C$18="Story Points",IF(AND(F22&lt;&gt;"Excluded",LEN(I22)=0),"Yes","No"),IF(AND(OR(AND(F22&lt;&gt;"Excluded",AM22="No group"),AL22="Yes"),OR(LEN(AD22)=0,AND(Config!$C$19="Dev + QA",N(N22)&gt;0,LEN(AE22)=0))),"Yes","No")))</f>
        <v/>
      </c>
      <c r="AP22" s="4" t="n"/>
    </row>
    <row r="23">
      <c r="A23" s="6">
        <f>IF(B23="","",ROW()-3)</f>
        <v/>
      </c>
      <c r="B23" s="15" t="n"/>
      <c r="C23" s="4" t="n"/>
      <c r="D23" s="4" t="n"/>
      <c r="E23" s="4" t="n"/>
      <c r="F23" s="15" t="n"/>
      <c r="G23" s="15" t="n"/>
      <c r="H23" s="8">
        <f>IF(OR(B23="",AND(AD23="",AE23="")),"",N(AD23)+IF(AND(Config!$C$19="Dev + QA",N23&lt;&gt;""),N(AE23),0))</f>
        <v/>
      </c>
      <c r="I23" s="20" t="n"/>
      <c r="J23" s="4" t="n"/>
      <c r="K23" s="4" t="n"/>
      <c r="L23" s="4" t="n"/>
      <c r="M23" s="15" t="n"/>
      <c r="N23" s="15" t="n"/>
      <c r="O23" s="6">
        <f>IF(B23="","",IF(M23&lt;&gt;"","Done","Open"))</f>
        <v/>
      </c>
      <c r="P23" s="15" t="n"/>
      <c r="Q23" s="4" t="n"/>
      <c r="R23" s="4" t="n"/>
      <c r="S23" s="15" t="n"/>
      <c r="T23" s="15" t="n"/>
      <c r="U23" s="6">
        <f>IF(OR(B23="",F23="Excluded",S23&lt;&gt;"Yes",T23="",AND(AK23="Yes",M23="")),"",IF(N(IF(AI23="Delivery",M23,IF(OR(M23="",N(AH23)=0),"",MAX(M23,AH23))))=0,IF(Config!$C$14&lt;=T23,"Pending","No"),IF(IF(AI23="Delivery",M23,IF(OR(M23="",N(AH23)=0),"",MAX(M23,AH23)))&lt;=T23,"Yes","No")))</f>
        <v/>
      </c>
      <c r="V23" s="15" t="n"/>
      <c r="W23" s="15" t="n"/>
      <c r="X23" s="6">
        <f>IF(OR(B23="",F23="Excluded",V23&lt;&gt;"Yes",W23="",AND(AK23="Yes",M23="")),"",IF(N(IF(Config!$C$24="Handover",IF(OR(M23="",N(AH23)=0),"",MAX(M23,AH23)),M23))=0,IF(Config!$C$14&lt;=W23,"Pending","No"),IF(IF(Config!$C$24="Handover",IF(OR(M23="",N(AH23)=0),"",MAX(M23,AH23)),M23)&lt;=W23,"Yes","No")))</f>
        <v/>
      </c>
      <c r="Y23" s="15" t="n"/>
      <c r="Z23" s="21" t="n"/>
      <c r="AA23" s="4" t="n"/>
      <c r="AB23" s="4" t="n"/>
      <c r="AC23" s="4" t="n"/>
      <c r="AD23" s="20" t="n"/>
      <c r="AE23" s="20" t="n"/>
      <c r="AF23" s="4" t="n"/>
      <c r="AG23" s="4" t="n"/>
      <c r="AH23" s="11">
        <f>IF(B23="","",IFERROR(INDEX(Periods!$H$5:$H$200,MATCH($B23,Periods!$B$5:$B$200,0)),""))</f>
        <v/>
      </c>
      <c r="AI23" s="11">
        <f>IF(B23="","",IF(COUNTIFS(Periods!$B$5:$B$200,$B23,Periods!$N$5:$N$200,"Handover")&gt;0,"Handover",IF(COUNTIFS(Periods!$B$5:$B$200,$B23,Periods!$N$5:$N$200,"Delivery")&gt;0,"Delivery",Config!$C$42)))</f>
        <v/>
      </c>
      <c r="AJ23" s="11" t="n"/>
      <c r="AK23" s="4" t="n"/>
      <c r="AL23" s="4" t="n"/>
      <c r="AM23" s="4" t="n"/>
      <c r="AN23" s="11" t="n"/>
      <c r="AO23" s="11">
        <f>IF(OR(B23="",N(M23)=0),"No",IF(Config!$C$18="Story Points",IF(AND(F23&lt;&gt;"Excluded",LEN(I23)=0),"Yes","No"),IF(AND(OR(AND(F23&lt;&gt;"Excluded",AM23="No group"),AL23="Yes"),OR(LEN(AD23)=0,AND(Config!$C$19="Dev + QA",N(N23)&gt;0,LEN(AE23)=0))),"Yes","No")))</f>
        <v/>
      </c>
      <c r="AP23" s="4" t="n"/>
    </row>
    <row r="24">
      <c r="A24" s="6">
        <f>IF(B24="","",ROW()-3)</f>
        <v/>
      </c>
      <c r="B24" s="15" t="n"/>
      <c r="C24" s="4" t="n"/>
      <c r="D24" s="4" t="n"/>
      <c r="E24" s="4" t="n"/>
      <c r="F24" s="15" t="n"/>
      <c r="G24" s="15" t="n"/>
      <c r="H24" s="8">
        <f>IF(OR(B24="",AND(AD24="",AE24="")),"",N(AD24)+IF(AND(Config!$C$19="Dev + QA",N24&lt;&gt;""),N(AE24),0))</f>
        <v/>
      </c>
      <c r="I24" s="20" t="n"/>
      <c r="J24" s="4" t="n"/>
      <c r="K24" s="4" t="n"/>
      <c r="L24" s="4" t="n"/>
      <c r="M24" s="15" t="n"/>
      <c r="N24" s="15" t="n"/>
      <c r="O24" s="6">
        <f>IF(B24="","",IF(M24&lt;&gt;"","Done","Open"))</f>
        <v/>
      </c>
      <c r="P24" s="15" t="n"/>
      <c r="Q24" s="4" t="n"/>
      <c r="R24" s="4" t="n"/>
      <c r="S24" s="15" t="n"/>
      <c r="T24" s="15" t="n"/>
      <c r="U24" s="6">
        <f>IF(OR(B24="",F24="Excluded",S24&lt;&gt;"Yes",T24="",AND(AK24="Yes",M24="")),"",IF(N(IF(AI24="Delivery",M24,IF(OR(M24="",N(AH24)=0),"",MAX(M24,AH24))))=0,IF(Config!$C$14&lt;=T24,"Pending","No"),IF(IF(AI24="Delivery",M24,IF(OR(M24="",N(AH24)=0),"",MAX(M24,AH24)))&lt;=T24,"Yes","No")))</f>
        <v/>
      </c>
      <c r="V24" s="15" t="n"/>
      <c r="W24" s="15" t="n"/>
      <c r="X24" s="6">
        <f>IF(OR(B24="",F24="Excluded",V24&lt;&gt;"Yes",W24="",AND(AK24="Yes",M24="")),"",IF(N(IF(Config!$C$24="Handover",IF(OR(M24="",N(AH24)=0),"",MAX(M24,AH24)),M24))=0,IF(Config!$C$14&lt;=W24,"Pending","No"),IF(IF(Config!$C$24="Handover",IF(OR(M24="",N(AH24)=0),"",MAX(M24,AH24)),M24)&lt;=W24,"Yes","No")))</f>
        <v/>
      </c>
      <c r="Y24" s="15" t="n"/>
      <c r="Z24" s="21" t="n"/>
      <c r="AA24" s="4" t="n"/>
      <c r="AB24" s="4" t="n"/>
      <c r="AC24" s="4" t="n"/>
      <c r="AD24" s="20" t="n"/>
      <c r="AE24" s="20" t="n"/>
      <c r="AF24" s="4" t="n"/>
      <c r="AG24" s="4" t="n"/>
      <c r="AH24" s="11">
        <f>IF(B24="","",IFERROR(INDEX(Periods!$H$5:$H$200,MATCH($B24,Periods!$B$5:$B$200,0)),""))</f>
        <v/>
      </c>
      <c r="AI24" s="11">
        <f>IF(B24="","",IF(COUNTIFS(Periods!$B$5:$B$200,$B24,Periods!$N$5:$N$200,"Handover")&gt;0,"Handover",IF(COUNTIFS(Periods!$B$5:$B$200,$B24,Periods!$N$5:$N$200,"Delivery")&gt;0,"Delivery",Config!$C$42)))</f>
        <v/>
      </c>
      <c r="AJ24" s="11" t="n"/>
      <c r="AK24" s="4" t="n"/>
      <c r="AL24" s="4" t="n"/>
      <c r="AM24" s="4" t="n"/>
      <c r="AN24" s="11" t="n"/>
      <c r="AO24" s="11">
        <f>IF(OR(B24="",N(M24)=0),"No",IF(Config!$C$18="Story Points",IF(AND(F24&lt;&gt;"Excluded",LEN(I24)=0),"Yes","No"),IF(AND(OR(AND(F24&lt;&gt;"Excluded",AM24="No group"),AL24="Yes"),OR(LEN(AD24)=0,AND(Config!$C$19="Dev + QA",N(N24)&gt;0,LEN(AE24)=0))),"Yes","No")))</f>
        <v/>
      </c>
      <c r="AP24" s="4" t="n"/>
    </row>
    <row r="25">
      <c r="A25" s="6">
        <f>IF(B25="","",ROW()-3)</f>
        <v/>
      </c>
      <c r="B25" s="15" t="n"/>
      <c r="C25" s="4" t="n"/>
      <c r="D25" s="4" t="n"/>
      <c r="E25" s="4" t="n"/>
      <c r="F25" s="15" t="n"/>
      <c r="G25" s="15" t="n"/>
      <c r="H25" s="8">
        <f>IF(OR(B25="",AND(AD25="",AE25="")),"",N(AD25)+IF(AND(Config!$C$19="Dev + QA",N25&lt;&gt;""),N(AE25),0))</f>
        <v/>
      </c>
      <c r="I25" s="20" t="n"/>
      <c r="J25" s="4" t="n"/>
      <c r="K25" s="4" t="n"/>
      <c r="L25" s="4" t="n"/>
      <c r="M25" s="15" t="n"/>
      <c r="N25" s="15" t="n"/>
      <c r="O25" s="6">
        <f>IF(B25="","",IF(M25&lt;&gt;"","Done","Open"))</f>
        <v/>
      </c>
      <c r="P25" s="15" t="n"/>
      <c r="Q25" s="4" t="n"/>
      <c r="R25" s="4" t="n"/>
      <c r="S25" s="15" t="n"/>
      <c r="T25" s="15" t="n"/>
      <c r="U25" s="6">
        <f>IF(OR(B25="",F25="Excluded",S25&lt;&gt;"Yes",T25="",AND(AK25="Yes",M25="")),"",IF(N(IF(AI25="Delivery",M25,IF(OR(M25="",N(AH25)=0),"",MAX(M25,AH25))))=0,IF(Config!$C$14&lt;=T25,"Pending","No"),IF(IF(AI25="Delivery",M25,IF(OR(M25="",N(AH25)=0),"",MAX(M25,AH25)))&lt;=T25,"Yes","No")))</f>
        <v/>
      </c>
      <c r="V25" s="15" t="n"/>
      <c r="W25" s="15" t="n"/>
      <c r="X25" s="6">
        <f>IF(OR(B25="",F25="Excluded",V25&lt;&gt;"Yes",W25="",AND(AK25="Yes",M25="")),"",IF(N(IF(Config!$C$24="Handover",IF(OR(M25="",N(AH25)=0),"",MAX(M25,AH25)),M25))=0,IF(Config!$C$14&lt;=W25,"Pending","No"),IF(IF(Config!$C$24="Handover",IF(OR(M25="",N(AH25)=0),"",MAX(M25,AH25)),M25)&lt;=W25,"Yes","No")))</f>
        <v/>
      </c>
      <c r="Y25" s="15" t="n"/>
      <c r="Z25" s="21" t="n"/>
      <c r="AA25" s="4" t="n"/>
      <c r="AB25" s="4" t="n"/>
      <c r="AC25" s="4" t="n"/>
      <c r="AD25" s="20" t="n"/>
      <c r="AE25" s="20" t="n"/>
      <c r="AF25" s="4" t="n"/>
      <c r="AG25" s="4" t="n"/>
      <c r="AH25" s="11">
        <f>IF(B25="","",IFERROR(INDEX(Periods!$H$5:$H$200,MATCH($B25,Periods!$B$5:$B$200,0)),""))</f>
        <v/>
      </c>
      <c r="AI25" s="11">
        <f>IF(B25="","",IF(COUNTIFS(Periods!$B$5:$B$200,$B25,Periods!$N$5:$N$200,"Handover")&gt;0,"Handover",IF(COUNTIFS(Periods!$B$5:$B$200,$B25,Periods!$N$5:$N$200,"Delivery")&gt;0,"Delivery",Config!$C$42)))</f>
        <v/>
      </c>
      <c r="AJ25" s="11" t="n"/>
      <c r="AK25" s="4" t="n"/>
      <c r="AL25" s="4" t="n"/>
      <c r="AM25" s="4" t="n"/>
      <c r="AN25" s="11" t="n"/>
      <c r="AO25" s="11">
        <f>IF(OR(B25="",N(M25)=0),"No",IF(Config!$C$18="Story Points",IF(AND(F25&lt;&gt;"Excluded",LEN(I25)=0),"Yes","No"),IF(AND(OR(AND(F25&lt;&gt;"Excluded",AM25="No group"),AL25="Yes"),OR(LEN(AD25)=0,AND(Config!$C$19="Dev + QA",N(N25)&gt;0,LEN(AE25)=0))),"Yes","No")))</f>
        <v/>
      </c>
      <c r="AP25" s="4" t="n"/>
    </row>
    <row r="26">
      <c r="A26" s="6">
        <f>IF(B26="","",ROW()-3)</f>
        <v/>
      </c>
      <c r="B26" s="15" t="n"/>
      <c r="C26" s="4" t="n"/>
      <c r="D26" s="4" t="n"/>
      <c r="E26" s="4" t="n"/>
      <c r="F26" s="15" t="n"/>
      <c r="G26" s="15" t="n"/>
      <c r="H26" s="8">
        <f>IF(OR(B26="",AND(AD26="",AE26="")),"",N(AD26)+IF(AND(Config!$C$19="Dev + QA",N26&lt;&gt;""),N(AE26),0))</f>
        <v/>
      </c>
      <c r="I26" s="20" t="n"/>
      <c r="J26" s="4" t="n"/>
      <c r="K26" s="4" t="n"/>
      <c r="L26" s="4" t="n"/>
      <c r="M26" s="15" t="n"/>
      <c r="N26" s="15" t="n"/>
      <c r="O26" s="6">
        <f>IF(B26="","",IF(M26&lt;&gt;"","Done","Open"))</f>
        <v/>
      </c>
      <c r="P26" s="15" t="n"/>
      <c r="Q26" s="4" t="n"/>
      <c r="R26" s="4" t="n"/>
      <c r="S26" s="15" t="n"/>
      <c r="T26" s="15" t="n"/>
      <c r="U26" s="6">
        <f>IF(OR(B26="",F26="Excluded",S26&lt;&gt;"Yes",T26="",AND(AK26="Yes",M26="")),"",IF(N(IF(AI26="Delivery",M26,IF(OR(M26="",N(AH26)=0),"",MAX(M26,AH26))))=0,IF(Config!$C$14&lt;=T26,"Pending","No"),IF(IF(AI26="Delivery",M26,IF(OR(M26="",N(AH26)=0),"",MAX(M26,AH26)))&lt;=T26,"Yes","No")))</f>
        <v/>
      </c>
      <c r="V26" s="15" t="n"/>
      <c r="W26" s="15" t="n"/>
      <c r="X26" s="6">
        <f>IF(OR(B26="",F26="Excluded",V26&lt;&gt;"Yes",W26="",AND(AK26="Yes",M26="")),"",IF(N(IF(Config!$C$24="Handover",IF(OR(M26="",N(AH26)=0),"",MAX(M26,AH26)),M26))=0,IF(Config!$C$14&lt;=W26,"Pending","No"),IF(IF(Config!$C$24="Handover",IF(OR(M26="",N(AH26)=0),"",MAX(M26,AH26)),M26)&lt;=W26,"Yes","No")))</f>
        <v/>
      </c>
      <c r="Y26" s="15" t="n"/>
      <c r="Z26" s="21" t="n"/>
      <c r="AA26" s="4" t="n"/>
      <c r="AB26" s="4" t="n"/>
      <c r="AC26" s="4" t="n"/>
      <c r="AD26" s="20" t="n"/>
      <c r="AE26" s="20" t="n"/>
      <c r="AF26" s="4" t="n"/>
      <c r="AG26" s="4" t="n"/>
      <c r="AH26" s="11">
        <f>IF(B26="","",IFERROR(INDEX(Periods!$H$5:$H$200,MATCH($B26,Periods!$B$5:$B$200,0)),""))</f>
        <v/>
      </c>
      <c r="AI26" s="11">
        <f>IF(B26="","",IF(COUNTIFS(Periods!$B$5:$B$200,$B26,Periods!$N$5:$N$200,"Handover")&gt;0,"Handover",IF(COUNTIFS(Periods!$B$5:$B$200,$B26,Periods!$N$5:$N$200,"Delivery")&gt;0,"Delivery",Config!$C$42)))</f>
        <v/>
      </c>
      <c r="AJ26" s="11" t="n"/>
      <c r="AK26" s="4" t="n"/>
      <c r="AL26" s="4" t="n"/>
      <c r="AM26" s="4" t="n"/>
      <c r="AN26" s="11" t="n"/>
      <c r="AO26" s="11">
        <f>IF(OR(B26="",N(M26)=0),"No",IF(Config!$C$18="Story Points",IF(AND(F26&lt;&gt;"Excluded",LEN(I26)=0),"Yes","No"),IF(AND(OR(AND(F26&lt;&gt;"Excluded",AM26="No group"),AL26="Yes"),OR(LEN(AD26)=0,AND(Config!$C$19="Dev + QA",N(N26)&gt;0,LEN(AE26)=0))),"Yes","No")))</f>
        <v/>
      </c>
      <c r="AP26" s="4" t="n"/>
    </row>
    <row r="27">
      <c r="A27" s="6">
        <f>IF(B27="","",ROW()-3)</f>
        <v/>
      </c>
      <c r="B27" s="15" t="n"/>
      <c r="C27" s="4" t="n"/>
      <c r="D27" s="4" t="n"/>
      <c r="E27" s="4" t="n"/>
      <c r="F27" s="15" t="n"/>
      <c r="G27" s="15" t="n"/>
      <c r="H27" s="8">
        <f>IF(OR(B27="",AND(AD27="",AE27="")),"",N(AD27)+IF(AND(Config!$C$19="Dev + QA",N27&lt;&gt;""),N(AE27),0))</f>
        <v/>
      </c>
      <c r="I27" s="20" t="n"/>
      <c r="J27" s="4" t="n"/>
      <c r="K27" s="4" t="n"/>
      <c r="L27" s="4" t="n"/>
      <c r="M27" s="15" t="n"/>
      <c r="N27" s="15" t="n"/>
      <c r="O27" s="6">
        <f>IF(B27="","",IF(M27&lt;&gt;"","Done","Open"))</f>
        <v/>
      </c>
      <c r="P27" s="15" t="n"/>
      <c r="Q27" s="4" t="n"/>
      <c r="R27" s="4" t="n"/>
      <c r="S27" s="15" t="n"/>
      <c r="T27" s="15" t="n"/>
      <c r="U27" s="6">
        <f>IF(OR(B27="",F27="Excluded",S27&lt;&gt;"Yes",T27="",AND(AK27="Yes",M27="")),"",IF(N(IF(AI27="Delivery",M27,IF(OR(M27="",N(AH27)=0),"",MAX(M27,AH27))))=0,IF(Config!$C$14&lt;=T27,"Pending","No"),IF(IF(AI27="Delivery",M27,IF(OR(M27="",N(AH27)=0),"",MAX(M27,AH27)))&lt;=T27,"Yes","No")))</f>
        <v/>
      </c>
      <c r="V27" s="15" t="n"/>
      <c r="W27" s="15" t="n"/>
      <c r="X27" s="6">
        <f>IF(OR(B27="",F27="Excluded",V27&lt;&gt;"Yes",W27="",AND(AK27="Yes",M27="")),"",IF(N(IF(Config!$C$24="Handover",IF(OR(M27="",N(AH27)=0),"",MAX(M27,AH27)),M27))=0,IF(Config!$C$14&lt;=W27,"Pending","No"),IF(IF(Config!$C$24="Handover",IF(OR(M27="",N(AH27)=0),"",MAX(M27,AH27)),M27)&lt;=W27,"Yes","No")))</f>
        <v/>
      </c>
      <c r="Y27" s="15" t="n"/>
      <c r="Z27" s="21" t="n"/>
      <c r="AA27" s="4" t="n"/>
      <c r="AB27" s="4" t="n"/>
      <c r="AC27" s="4" t="n"/>
      <c r="AD27" s="20" t="n"/>
      <c r="AE27" s="20" t="n"/>
      <c r="AF27" s="4" t="n"/>
      <c r="AG27" s="4" t="n"/>
      <c r="AH27" s="11">
        <f>IF(B27="","",IFERROR(INDEX(Periods!$H$5:$H$200,MATCH($B27,Periods!$B$5:$B$200,0)),""))</f>
        <v/>
      </c>
      <c r="AI27" s="11">
        <f>IF(B27="","",IF(COUNTIFS(Periods!$B$5:$B$200,$B27,Periods!$N$5:$N$200,"Handover")&gt;0,"Handover",IF(COUNTIFS(Periods!$B$5:$B$200,$B27,Periods!$N$5:$N$200,"Delivery")&gt;0,"Delivery",Config!$C$42)))</f>
        <v/>
      </c>
      <c r="AJ27" s="11" t="n"/>
      <c r="AK27" s="4" t="n"/>
      <c r="AL27" s="4" t="n"/>
      <c r="AM27" s="4" t="n"/>
      <c r="AN27" s="11" t="n"/>
      <c r="AO27" s="11">
        <f>IF(OR(B27="",N(M27)=0),"No",IF(Config!$C$18="Story Points",IF(AND(F27&lt;&gt;"Excluded",LEN(I27)=0),"Yes","No"),IF(AND(OR(AND(F27&lt;&gt;"Excluded",AM27="No group"),AL27="Yes"),OR(LEN(AD27)=0,AND(Config!$C$19="Dev + QA",N(N27)&gt;0,LEN(AE27)=0))),"Yes","No")))</f>
        <v/>
      </c>
      <c r="AP27" s="4" t="n"/>
    </row>
    <row r="28">
      <c r="A28" s="6">
        <f>IF(B28="","",ROW()-3)</f>
        <v/>
      </c>
      <c r="B28" s="15" t="n"/>
      <c r="C28" s="4" t="n"/>
      <c r="D28" s="4" t="n"/>
      <c r="E28" s="4" t="n"/>
      <c r="F28" s="15" t="n"/>
      <c r="G28" s="15" t="n"/>
      <c r="H28" s="8">
        <f>IF(OR(B28="",AND(AD28="",AE28="")),"",N(AD28)+IF(AND(Config!$C$19="Dev + QA",N28&lt;&gt;""),N(AE28),0))</f>
        <v/>
      </c>
      <c r="I28" s="20" t="n"/>
      <c r="J28" s="4" t="n"/>
      <c r="K28" s="4" t="n"/>
      <c r="L28" s="4" t="n"/>
      <c r="M28" s="15" t="n"/>
      <c r="N28" s="15" t="n"/>
      <c r="O28" s="6">
        <f>IF(B28="","",IF(M28&lt;&gt;"","Done","Open"))</f>
        <v/>
      </c>
      <c r="P28" s="15" t="n"/>
      <c r="Q28" s="4" t="n"/>
      <c r="R28" s="4" t="n"/>
      <c r="S28" s="15" t="n"/>
      <c r="T28" s="15" t="n"/>
      <c r="U28" s="6">
        <f>IF(OR(B28="",F28="Excluded",S28&lt;&gt;"Yes",T28="",AND(AK28="Yes",M28="")),"",IF(N(IF(AI28="Delivery",M28,IF(OR(M28="",N(AH28)=0),"",MAX(M28,AH28))))=0,IF(Config!$C$14&lt;=T28,"Pending","No"),IF(IF(AI28="Delivery",M28,IF(OR(M28="",N(AH28)=0),"",MAX(M28,AH28)))&lt;=T28,"Yes","No")))</f>
        <v/>
      </c>
      <c r="V28" s="15" t="n"/>
      <c r="W28" s="15" t="n"/>
      <c r="X28" s="6">
        <f>IF(OR(B28="",F28="Excluded",V28&lt;&gt;"Yes",W28="",AND(AK28="Yes",M28="")),"",IF(N(IF(Config!$C$24="Handover",IF(OR(M28="",N(AH28)=0),"",MAX(M28,AH28)),M28))=0,IF(Config!$C$14&lt;=W28,"Pending","No"),IF(IF(Config!$C$24="Handover",IF(OR(M28="",N(AH28)=0),"",MAX(M28,AH28)),M28)&lt;=W28,"Yes","No")))</f>
        <v/>
      </c>
      <c r="Y28" s="15" t="n"/>
      <c r="Z28" s="21" t="n"/>
      <c r="AA28" s="4" t="n"/>
      <c r="AB28" s="4" t="n"/>
      <c r="AC28" s="4" t="n"/>
      <c r="AD28" s="20" t="n"/>
      <c r="AE28" s="20" t="n"/>
      <c r="AF28" s="4" t="n"/>
      <c r="AG28" s="4" t="n"/>
      <c r="AH28" s="11">
        <f>IF(B28="","",IFERROR(INDEX(Periods!$H$5:$H$200,MATCH($B28,Periods!$B$5:$B$200,0)),""))</f>
        <v/>
      </c>
      <c r="AI28" s="11">
        <f>IF(B28="","",IF(COUNTIFS(Periods!$B$5:$B$200,$B28,Periods!$N$5:$N$200,"Handover")&gt;0,"Handover",IF(COUNTIFS(Periods!$B$5:$B$200,$B28,Periods!$N$5:$N$200,"Delivery")&gt;0,"Delivery",Config!$C$42)))</f>
        <v/>
      </c>
      <c r="AJ28" s="11" t="n"/>
      <c r="AK28" s="4" t="n"/>
      <c r="AL28" s="4" t="n"/>
      <c r="AM28" s="4" t="n"/>
      <c r="AN28" s="11" t="n"/>
      <c r="AO28" s="11">
        <f>IF(OR(B28="",N(M28)=0),"No",IF(Config!$C$18="Story Points",IF(AND(F28&lt;&gt;"Excluded",LEN(I28)=0),"Yes","No"),IF(AND(OR(AND(F28&lt;&gt;"Excluded",AM28="No group"),AL28="Yes"),OR(LEN(AD28)=0,AND(Config!$C$19="Dev + QA",N(N28)&gt;0,LEN(AE28)=0))),"Yes","No")))</f>
        <v/>
      </c>
      <c r="AP28" s="4" t="n"/>
    </row>
    <row r="29">
      <c r="A29" s="6">
        <f>IF(B29="","",ROW()-3)</f>
        <v/>
      </c>
      <c r="B29" s="15" t="n"/>
      <c r="C29" s="4" t="n"/>
      <c r="D29" s="4" t="n"/>
      <c r="E29" s="4" t="n"/>
      <c r="F29" s="15" t="n"/>
      <c r="G29" s="15" t="n"/>
      <c r="H29" s="8">
        <f>IF(OR(B29="",AND(AD29="",AE29="")),"",N(AD29)+IF(AND(Config!$C$19="Dev + QA",N29&lt;&gt;""),N(AE29),0))</f>
        <v/>
      </c>
      <c r="I29" s="20" t="n"/>
      <c r="J29" s="4" t="n"/>
      <c r="K29" s="4" t="n"/>
      <c r="L29" s="4" t="n"/>
      <c r="M29" s="15" t="n"/>
      <c r="N29" s="15" t="n"/>
      <c r="O29" s="6">
        <f>IF(B29="","",IF(M29&lt;&gt;"","Done","Open"))</f>
        <v/>
      </c>
      <c r="P29" s="15" t="n"/>
      <c r="Q29" s="4" t="n"/>
      <c r="R29" s="4" t="n"/>
      <c r="S29" s="15" t="n"/>
      <c r="T29" s="15" t="n"/>
      <c r="U29" s="6">
        <f>IF(OR(B29="",F29="Excluded",S29&lt;&gt;"Yes",T29="",AND(AK29="Yes",M29="")),"",IF(N(IF(AI29="Delivery",M29,IF(OR(M29="",N(AH29)=0),"",MAX(M29,AH29))))=0,IF(Config!$C$14&lt;=T29,"Pending","No"),IF(IF(AI29="Delivery",M29,IF(OR(M29="",N(AH29)=0),"",MAX(M29,AH29)))&lt;=T29,"Yes","No")))</f>
        <v/>
      </c>
      <c r="V29" s="15" t="n"/>
      <c r="W29" s="15" t="n"/>
      <c r="X29" s="6">
        <f>IF(OR(B29="",F29="Excluded",V29&lt;&gt;"Yes",W29="",AND(AK29="Yes",M29="")),"",IF(N(IF(Config!$C$24="Handover",IF(OR(M29="",N(AH29)=0),"",MAX(M29,AH29)),M29))=0,IF(Config!$C$14&lt;=W29,"Pending","No"),IF(IF(Config!$C$24="Handover",IF(OR(M29="",N(AH29)=0),"",MAX(M29,AH29)),M29)&lt;=W29,"Yes","No")))</f>
        <v/>
      </c>
      <c r="Y29" s="15" t="n"/>
      <c r="Z29" s="21" t="n"/>
      <c r="AA29" s="4" t="n"/>
      <c r="AB29" s="4" t="n"/>
      <c r="AC29" s="4" t="n"/>
      <c r="AD29" s="20" t="n"/>
      <c r="AE29" s="20" t="n"/>
      <c r="AF29" s="4" t="n"/>
      <c r="AG29" s="4" t="n"/>
      <c r="AH29" s="11">
        <f>IF(B29="","",IFERROR(INDEX(Periods!$H$5:$H$200,MATCH($B29,Periods!$B$5:$B$200,0)),""))</f>
        <v/>
      </c>
      <c r="AI29" s="11">
        <f>IF(B29="","",IF(COUNTIFS(Periods!$B$5:$B$200,$B29,Periods!$N$5:$N$200,"Handover")&gt;0,"Handover",IF(COUNTIFS(Periods!$B$5:$B$200,$B29,Periods!$N$5:$N$200,"Delivery")&gt;0,"Delivery",Config!$C$42)))</f>
        <v/>
      </c>
      <c r="AJ29" s="11" t="n"/>
      <c r="AK29" s="4" t="n"/>
      <c r="AL29" s="4" t="n"/>
      <c r="AM29" s="4" t="n"/>
      <c r="AN29" s="11" t="n"/>
      <c r="AO29" s="11">
        <f>IF(OR(B29="",N(M29)=0),"No",IF(Config!$C$18="Story Points",IF(AND(F29&lt;&gt;"Excluded",LEN(I29)=0),"Yes","No"),IF(AND(OR(AND(F29&lt;&gt;"Excluded",AM29="No group"),AL29="Yes"),OR(LEN(AD29)=0,AND(Config!$C$19="Dev + QA",N(N29)&gt;0,LEN(AE29)=0))),"Yes","No")))</f>
        <v/>
      </c>
      <c r="AP29" s="4" t="n"/>
    </row>
    <row r="30">
      <c r="A30" s="6">
        <f>IF(B30="","",ROW()-3)</f>
        <v/>
      </c>
      <c r="B30" s="15" t="n"/>
      <c r="C30" s="4" t="n"/>
      <c r="D30" s="4" t="n"/>
      <c r="E30" s="4" t="n"/>
      <c r="F30" s="15" t="n"/>
      <c r="G30" s="15" t="n"/>
      <c r="H30" s="8">
        <f>IF(OR(B30="",AND(AD30="",AE30="")),"",N(AD30)+IF(AND(Config!$C$19="Dev + QA",N30&lt;&gt;""),N(AE30),0))</f>
        <v/>
      </c>
      <c r="I30" s="20" t="n"/>
      <c r="J30" s="4" t="n"/>
      <c r="K30" s="4" t="n"/>
      <c r="L30" s="4" t="n"/>
      <c r="M30" s="15" t="n"/>
      <c r="N30" s="15" t="n"/>
      <c r="O30" s="6">
        <f>IF(B30="","",IF(M30&lt;&gt;"","Done","Open"))</f>
        <v/>
      </c>
      <c r="P30" s="15" t="n"/>
      <c r="Q30" s="4" t="n"/>
      <c r="R30" s="4" t="n"/>
      <c r="S30" s="15" t="n"/>
      <c r="T30" s="15" t="n"/>
      <c r="U30" s="6">
        <f>IF(OR(B30="",F30="Excluded",S30&lt;&gt;"Yes",T30="",AND(AK30="Yes",M30="")),"",IF(N(IF(AI30="Delivery",M30,IF(OR(M30="",N(AH30)=0),"",MAX(M30,AH30))))=0,IF(Config!$C$14&lt;=T30,"Pending","No"),IF(IF(AI30="Delivery",M30,IF(OR(M30="",N(AH30)=0),"",MAX(M30,AH30)))&lt;=T30,"Yes","No")))</f>
        <v/>
      </c>
      <c r="V30" s="15" t="n"/>
      <c r="W30" s="15" t="n"/>
      <c r="X30" s="6">
        <f>IF(OR(B30="",F30="Excluded",V30&lt;&gt;"Yes",W30="",AND(AK30="Yes",M30="")),"",IF(N(IF(Config!$C$24="Handover",IF(OR(M30="",N(AH30)=0),"",MAX(M30,AH30)),M30))=0,IF(Config!$C$14&lt;=W30,"Pending","No"),IF(IF(Config!$C$24="Handover",IF(OR(M30="",N(AH30)=0),"",MAX(M30,AH30)),M30)&lt;=W30,"Yes","No")))</f>
        <v/>
      </c>
      <c r="Y30" s="15" t="n"/>
      <c r="Z30" s="21" t="n"/>
      <c r="AA30" s="4" t="n"/>
      <c r="AB30" s="4" t="n"/>
      <c r="AC30" s="4" t="n"/>
      <c r="AD30" s="20" t="n"/>
      <c r="AE30" s="20" t="n"/>
      <c r="AF30" s="4" t="n"/>
      <c r="AG30" s="4" t="n"/>
      <c r="AH30" s="11">
        <f>IF(B30="","",IFERROR(INDEX(Periods!$H$5:$H$200,MATCH($B30,Periods!$B$5:$B$200,0)),""))</f>
        <v/>
      </c>
      <c r="AI30" s="11">
        <f>IF(B30="","",IF(COUNTIFS(Periods!$B$5:$B$200,$B30,Periods!$N$5:$N$200,"Handover")&gt;0,"Handover",IF(COUNTIFS(Periods!$B$5:$B$200,$B30,Periods!$N$5:$N$200,"Delivery")&gt;0,"Delivery",Config!$C$42)))</f>
        <v/>
      </c>
      <c r="AJ30" s="11" t="n"/>
      <c r="AK30" s="4" t="n"/>
      <c r="AL30" s="4" t="n"/>
      <c r="AM30" s="4" t="n"/>
      <c r="AN30" s="11" t="n"/>
      <c r="AO30" s="11">
        <f>IF(OR(B30="",N(M30)=0),"No",IF(Config!$C$18="Story Points",IF(AND(F30&lt;&gt;"Excluded",LEN(I30)=0),"Yes","No"),IF(AND(OR(AND(F30&lt;&gt;"Excluded",AM30="No group"),AL30="Yes"),OR(LEN(AD30)=0,AND(Config!$C$19="Dev + QA",N(N30)&gt;0,LEN(AE30)=0))),"Yes","No")))</f>
        <v/>
      </c>
      <c r="AP30" s="4" t="n"/>
    </row>
    <row r="31">
      <c r="A31" s="6">
        <f>IF(B31="","",ROW()-3)</f>
        <v/>
      </c>
      <c r="B31" s="15" t="n"/>
      <c r="C31" s="4" t="n"/>
      <c r="D31" s="4" t="n"/>
      <c r="E31" s="4" t="n"/>
      <c r="F31" s="15" t="n"/>
      <c r="G31" s="15" t="n"/>
      <c r="H31" s="8">
        <f>IF(OR(B31="",AND(AD31="",AE31="")),"",N(AD31)+IF(AND(Config!$C$19="Dev + QA",N31&lt;&gt;""),N(AE31),0))</f>
        <v/>
      </c>
      <c r="I31" s="20" t="n"/>
      <c r="J31" s="4" t="n"/>
      <c r="K31" s="4" t="n"/>
      <c r="L31" s="4" t="n"/>
      <c r="M31" s="15" t="n"/>
      <c r="N31" s="15" t="n"/>
      <c r="O31" s="6">
        <f>IF(B31="","",IF(M31&lt;&gt;"","Done","Open"))</f>
        <v/>
      </c>
      <c r="P31" s="15" t="n"/>
      <c r="Q31" s="4" t="n"/>
      <c r="R31" s="4" t="n"/>
      <c r="S31" s="15" t="n"/>
      <c r="T31" s="15" t="n"/>
      <c r="U31" s="6">
        <f>IF(OR(B31="",F31="Excluded",S31&lt;&gt;"Yes",T31="",AND(AK31="Yes",M31="")),"",IF(N(IF(AI31="Delivery",M31,IF(OR(M31="",N(AH31)=0),"",MAX(M31,AH31))))=0,IF(Config!$C$14&lt;=T31,"Pending","No"),IF(IF(AI31="Delivery",M31,IF(OR(M31="",N(AH31)=0),"",MAX(M31,AH31)))&lt;=T31,"Yes","No")))</f>
        <v/>
      </c>
      <c r="V31" s="15" t="n"/>
      <c r="W31" s="15" t="n"/>
      <c r="X31" s="6">
        <f>IF(OR(B31="",F31="Excluded",V31&lt;&gt;"Yes",W31="",AND(AK31="Yes",M31="")),"",IF(N(IF(Config!$C$24="Handover",IF(OR(M31="",N(AH31)=0),"",MAX(M31,AH31)),M31))=0,IF(Config!$C$14&lt;=W31,"Pending","No"),IF(IF(Config!$C$24="Handover",IF(OR(M31="",N(AH31)=0),"",MAX(M31,AH31)),M31)&lt;=W31,"Yes","No")))</f>
        <v/>
      </c>
      <c r="Y31" s="15" t="n"/>
      <c r="Z31" s="21" t="n"/>
      <c r="AA31" s="4" t="n"/>
      <c r="AB31" s="4" t="n"/>
      <c r="AC31" s="4" t="n"/>
      <c r="AD31" s="20" t="n"/>
      <c r="AE31" s="20" t="n"/>
      <c r="AF31" s="4" t="n"/>
      <c r="AG31" s="4" t="n"/>
      <c r="AH31" s="11">
        <f>IF(B31="","",IFERROR(INDEX(Periods!$H$5:$H$200,MATCH($B31,Periods!$B$5:$B$200,0)),""))</f>
        <v/>
      </c>
      <c r="AI31" s="11">
        <f>IF(B31="","",IF(COUNTIFS(Periods!$B$5:$B$200,$B31,Periods!$N$5:$N$200,"Handover")&gt;0,"Handover",IF(COUNTIFS(Periods!$B$5:$B$200,$B31,Periods!$N$5:$N$200,"Delivery")&gt;0,"Delivery",Config!$C$42)))</f>
        <v/>
      </c>
      <c r="AJ31" s="11" t="n"/>
      <c r="AK31" s="4" t="n"/>
      <c r="AL31" s="4" t="n"/>
      <c r="AM31" s="4" t="n"/>
      <c r="AN31" s="11" t="n"/>
      <c r="AO31" s="11">
        <f>IF(OR(B31="",N(M31)=0),"No",IF(Config!$C$18="Story Points",IF(AND(F31&lt;&gt;"Excluded",LEN(I31)=0),"Yes","No"),IF(AND(OR(AND(F31&lt;&gt;"Excluded",AM31="No group"),AL31="Yes"),OR(LEN(AD31)=0,AND(Config!$C$19="Dev + QA",N(N31)&gt;0,LEN(AE31)=0))),"Yes","No")))</f>
        <v/>
      </c>
      <c r="AP31" s="4" t="n"/>
    </row>
    <row r="32">
      <c r="A32" s="6">
        <f>IF(B32="","",ROW()-3)</f>
        <v/>
      </c>
      <c r="B32" s="15" t="n"/>
      <c r="C32" s="4" t="n"/>
      <c r="D32" s="4" t="n"/>
      <c r="E32" s="4" t="n"/>
      <c r="F32" s="15" t="n"/>
      <c r="G32" s="15" t="n"/>
      <c r="H32" s="8">
        <f>IF(OR(B32="",AND(AD32="",AE32="")),"",N(AD32)+IF(AND(Config!$C$19="Dev + QA",N32&lt;&gt;""),N(AE32),0))</f>
        <v/>
      </c>
      <c r="I32" s="20" t="n"/>
      <c r="J32" s="4" t="n"/>
      <c r="K32" s="4" t="n"/>
      <c r="L32" s="4" t="n"/>
      <c r="M32" s="15" t="n"/>
      <c r="N32" s="15" t="n"/>
      <c r="O32" s="6">
        <f>IF(B32="","",IF(M32&lt;&gt;"","Done","Open"))</f>
        <v/>
      </c>
      <c r="P32" s="15" t="n"/>
      <c r="Q32" s="4" t="n"/>
      <c r="R32" s="4" t="n"/>
      <c r="S32" s="15" t="n"/>
      <c r="T32" s="15" t="n"/>
      <c r="U32" s="6">
        <f>IF(OR(B32="",F32="Excluded",S32&lt;&gt;"Yes",T32="",AND(AK32="Yes",M32="")),"",IF(N(IF(AI32="Delivery",M32,IF(OR(M32="",N(AH32)=0),"",MAX(M32,AH32))))=0,IF(Config!$C$14&lt;=T32,"Pending","No"),IF(IF(AI32="Delivery",M32,IF(OR(M32="",N(AH32)=0),"",MAX(M32,AH32)))&lt;=T32,"Yes","No")))</f>
        <v/>
      </c>
      <c r="V32" s="15" t="n"/>
      <c r="W32" s="15" t="n"/>
      <c r="X32" s="6">
        <f>IF(OR(B32="",F32="Excluded",V32&lt;&gt;"Yes",W32="",AND(AK32="Yes",M32="")),"",IF(N(IF(Config!$C$24="Handover",IF(OR(M32="",N(AH32)=0),"",MAX(M32,AH32)),M32))=0,IF(Config!$C$14&lt;=W32,"Pending","No"),IF(IF(Config!$C$24="Handover",IF(OR(M32="",N(AH32)=0),"",MAX(M32,AH32)),M32)&lt;=W32,"Yes","No")))</f>
        <v/>
      </c>
      <c r="Y32" s="15" t="n"/>
      <c r="Z32" s="21" t="n"/>
      <c r="AA32" s="4" t="n"/>
      <c r="AB32" s="4" t="n"/>
      <c r="AC32" s="4" t="n"/>
      <c r="AD32" s="20" t="n"/>
      <c r="AE32" s="20" t="n"/>
      <c r="AF32" s="4" t="n"/>
      <c r="AG32" s="4" t="n"/>
      <c r="AH32" s="11">
        <f>IF(B32="","",IFERROR(INDEX(Periods!$H$5:$H$200,MATCH($B32,Periods!$B$5:$B$200,0)),""))</f>
        <v/>
      </c>
      <c r="AI32" s="11">
        <f>IF(B32="","",IF(COUNTIFS(Periods!$B$5:$B$200,$B32,Periods!$N$5:$N$200,"Handover")&gt;0,"Handover",IF(COUNTIFS(Periods!$B$5:$B$200,$B32,Periods!$N$5:$N$200,"Delivery")&gt;0,"Delivery",Config!$C$42)))</f>
        <v/>
      </c>
      <c r="AJ32" s="11" t="n"/>
      <c r="AK32" s="4" t="n"/>
      <c r="AL32" s="4" t="n"/>
      <c r="AM32" s="4" t="n"/>
      <c r="AN32" s="11" t="n"/>
      <c r="AO32" s="11">
        <f>IF(OR(B32="",N(M32)=0),"No",IF(Config!$C$18="Story Points",IF(AND(F32&lt;&gt;"Excluded",LEN(I32)=0),"Yes","No"),IF(AND(OR(AND(F32&lt;&gt;"Excluded",AM32="No group"),AL32="Yes"),OR(LEN(AD32)=0,AND(Config!$C$19="Dev + QA",N(N32)&gt;0,LEN(AE32)=0))),"Yes","No")))</f>
        <v/>
      </c>
      <c r="AP32" s="4" t="n"/>
    </row>
    <row r="33">
      <c r="A33" s="6">
        <f>IF(B33="","",ROW()-3)</f>
        <v/>
      </c>
      <c r="B33" s="15" t="n"/>
      <c r="C33" s="4" t="n"/>
      <c r="D33" s="4" t="n"/>
      <c r="E33" s="4" t="n"/>
      <c r="F33" s="15" t="n"/>
      <c r="G33" s="15" t="n"/>
      <c r="H33" s="8">
        <f>IF(OR(B33="",AND(AD33="",AE33="")),"",N(AD33)+IF(AND(Config!$C$19="Dev + QA",N33&lt;&gt;""),N(AE33),0))</f>
        <v/>
      </c>
      <c r="I33" s="20" t="n"/>
      <c r="J33" s="4" t="n"/>
      <c r="K33" s="4" t="n"/>
      <c r="L33" s="4" t="n"/>
      <c r="M33" s="15" t="n"/>
      <c r="N33" s="15" t="n"/>
      <c r="O33" s="6">
        <f>IF(B33="","",IF(M33&lt;&gt;"","Done","Open"))</f>
        <v/>
      </c>
      <c r="P33" s="15" t="n"/>
      <c r="Q33" s="4" t="n"/>
      <c r="R33" s="4" t="n"/>
      <c r="S33" s="15" t="n"/>
      <c r="T33" s="15" t="n"/>
      <c r="U33" s="6">
        <f>IF(OR(B33="",F33="Excluded",S33&lt;&gt;"Yes",T33="",AND(AK33="Yes",M33="")),"",IF(N(IF(AI33="Delivery",M33,IF(OR(M33="",N(AH33)=0),"",MAX(M33,AH33))))=0,IF(Config!$C$14&lt;=T33,"Pending","No"),IF(IF(AI33="Delivery",M33,IF(OR(M33="",N(AH33)=0),"",MAX(M33,AH33)))&lt;=T33,"Yes","No")))</f>
        <v/>
      </c>
      <c r="V33" s="15" t="n"/>
      <c r="W33" s="15" t="n"/>
      <c r="X33" s="6">
        <f>IF(OR(B33="",F33="Excluded",V33&lt;&gt;"Yes",W33="",AND(AK33="Yes",M33="")),"",IF(N(IF(Config!$C$24="Handover",IF(OR(M33="",N(AH33)=0),"",MAX(M33,AH33)),M33))=0,IF(Config!$C$14&lt;=W33,"Pending","No"),IF(IF(Config!$C$24="Handover",IF(OR(M33="",N(AH33)=0),"",MAX(M33,AH33)),M33)&lt;=W33,"Yes","No")))</f>
        <v/>
      </c>
      <c r="Y33" s="15" t="n"/>
      <c r="Z33" s="21" t="n"/>
      <c r="AA33" s="4" t="n"/>
      <c r="AB33" s="4" t="n"/>
      <c r="AC33" s="4" t="n"/>
      <c r="AD33" s="20" t="n"/>
      <c r="AE33" s="20" t="n"/>
      <c r="AF33" s="4" t="n"/>
      <c r="AG33" s="4" t="n"/>
      <c r="AH33" s="11">
        <f>IF(B33="","",IFERROR(INDEX(Periods!$H$5:$H$200,MATCH($B33,Periods!$B$5:$B$200,0)),""))</f>
        <v/>
      </c>
      <c r="AI33" s="11">
        <f>IF(B33="","",IF(COUNTIFS(Periods!$B$5:$B$200,$B33,Periods!$N$5:$N$200,"Handover")&gt;0,"Handover",IF(COUNTIFS(Periods!$B$5:$B$200,$B33,Periods!$N$5:$N$200,"Delivery")&gt;0,"Delivery",Config!$C$42)))</f>
        <v/>
      </c>
      <c r="AJ33" s="11" t="n"/>
      <c r="AK33" s="4" t="n"/>
      <c r="AL33" s="4" t="n"/>
      <c r="AM33" s="4" t="n"/>
      <c r="AN33" s="11" t="n"/>
      <c r="AO33" s="11">
        <f>IF(OR(B33="",N(M33)=0),"No",IF(Config!$C$18="Story Points",IF(AND(F33&lt;&gt;"Excluded",LEN(I33)=0),"Yes","No"),IF(AND(OR(AND(F33&lt;&gt;"Excluded",AM33="No group"),AL33="Yes"),OR(LEN(AD33)=0,AND(Config!$C$19="Dev + QA",N(N33)&gt;0,LEN(AE33)=0))),"Yes","No")))</f>
        <v/>
      </c>
      <c r="AP33" s="4" t="n"/>
    </row>
    <row r="34">
      <c r="A34" s="6">
        <f>IF(B34="","",ROW()-3)</f>
        <v/>
      </c>
      <c r="B34" s="15" t="n"/>
      <c r="C34" s="4" t="n"/>
      <c r="D34" s="4" t="n"/>
      <c r="E34" s="4" t="n"/>
      <c r="F34" s="15" t="n"/>
      <c r="G34" s="15" t="n"/>
      <c r="H34" s="8">
        <f>IF(OR(B34="",AND(AD34="",AE34="")),"",N(AD34)+IF(AND(Config!$C$19="Dev + QA",N34&lt;&gt;""),N(AE34),0))</f>
        <v/>
      </c>
      <c r="I34" s="20" t="n"/>
      <c r="J34" s="4" t="n"/>
      <c r="K34" s="4" t="n"/>
      <c r="L34" s="4" t="n"/>
      <c r="M34" s="15" t="n"/>
      <c r="N34" s="15" t="n"/>
      <c r="O34" s="6">
        <f>IF(B34="","",IF(M34&lt;&gt;"","Done","Open"))</f>
        <v/>
      </c>
      <c r="P34" s="15" t="n"/>
      <c r="Q34" s="4" t="n"/>
      <c r="R34" s="4" t="n"/>
      <c r="S34" s="15" t="n"/>
      <c r="T34" s="15" t="n"/>
      <c r="U34" s="6">
        <f>IF(OR(B34="",F34="Excluded",S34&lt;&gt;"Yes",T34="",AND(AK34="Yes",M34="")),"",IF(N(IF(AI34="Delivery",M34,IF(OR(M34="",N(AH34)=0),"",MAX(M34,AH34))))=0,IF(Config!$C$14&lt;=T34,"Pending","No"),IF(IF(AI34="Delivery",M34,IF(OR(M34="",N(AH34)=0),"",MAX(M34,AH34)))&lt;=T34,"Yes","No")))</f>
        <v/>
      </c>
      <c r="V34" s="15" t="n"/>
      <c r="W34" s="15" t="n"/>
      <c r="X34" s="6">
        <f>IF(OR(B34="",F34="Excluded",V34&lt;&gt;"Yes",W34="",AND(AK34="Yes",M34="")),"",IF(N(IF(Config!$C$24="Handover",IF(OR(M34="",N(AH34)=0),"",MAX(M34,AH34)),M34))=0,IF(Config!$C$14&lt;=W34,"Pending","No"),IF(IF(Config!$C$24="Handover",IF(OR(M34="",N(AH34)=0),"",MAX(M34,AH34)),M34)&lt;=W34,"Yes","No")))</f>
        <v/>
      </c>
      <c r="Y34" s="15" t="n"/>
      <c r="Z34" s="21" t="n"/>
      <c r="AA34" s="4" t="n"/>
      <c r="AB34" s="4" t="n"/>
      <c r="AC34" s="4" t="n"/>
      <c r="AD34" s="20" t="n"/>
      <c r="AE34" s="20" t="n"/>
      <c r="AF34" s="4" t="n"/>
      <c r="AG34" s="4" t="n"/>
      <c r="AH34" s="11">
        <f>IF(B34="","",IFERROR(INDEX(Periods!$H$5:$H$200,MATCH($B34,Periods!$B$5:$B$200,0)),""))</f>
        <v/>
      </c>
      <c r="AI34" s="11">
        <f>IF(B34="","",IF(COUNTIFS(Periods!$B$5:$B$200,$B34,Periods!$N$5:$N$200,"Handover")&gt;0,"Handover",IF(COUNTIFS(Periods!$B$5:$B$200,$B34,Periods!$N$5:$N$200,"Delivery")&gt;0,"Delivery",Config!$C$42)))</f>
        <v/>
      </c>
      <c r="AJ34" s="11" t="n"/>
      <c r="AK34" s="4" t="n"/>
      <c r="AL34" s="4" t="n"/>
      <c r="AM34" s="4" t="n"/>
      <c r="AN34" s="11" t="n"/>
      <c r="AO34" s="11">
        <f>IF(OR(B34="",N(M34)=0),"No",IF(Config!$C$18="Story Points",IF(AND(F34&lt;&gt;"Excluded",LEN(I34)=0),"Yes","No"),IF(AND(OR(AND(F34&lt;&gt;"Excluded",AM34="No group"),AL34="Yes"),OR(LEN(AD34)=0,AND(Config!$C$19="Dev + QA",N(N34)&gt;0,LEN(AE34)=0))),"Yes","No")))</f>
        <v/>
      </c>
      <c r="AP34" s="4" t="n"/>
    </row>
    <row r="35">
      <c r="A35" s="6">
        <f>IF(B35="","",ROW()-3)</f>
        <v/>
      </c>
      <c r="B35" s="15" t="n"/>
      <c r="C35" s="4" t="n"/>
      <c r="D35" s="4" t="n"/>
      <c r="E35" s="4" t="n"/>
      <c r="F35" s="15" t="n"/>
      <c r="G35" s="15" t="n"/>
      <c r="H35" s="8">
        <f>IF(OR(B35="",AND(AD35="",AE35="")),"",N(AD35)+IF(AND(Config!$C$19="Dev + QA",N35&lt;&gt;""),N(AE35),0))</f>
        <v/>
      </c>
      <c r="I35" s="20" t="n"/>
      <c r="J35" s="4" t="n"/>
      <c r="K35" s="4" t="n"/>
      <c r="L35" s="4" t="n"/>
      <c r="M35" s="15" t="n"/>
      <c r="N35" s="15" t="n"/>
      <c r="O35" s="6">
        <f>IF(B35="","",IF(M35&lt;&gt;"","Done","Open"))</f>
        <v/>
      </c>
      <c r="P35" s="15" t="n"/>
      <c r="Q35" s="4" t="n"/>
      <c r="R35" s="4" t="n"/>
      <c r="S35" s="15" t="n"/>
      <c r="T35" s="15" t="n"/>
      <c r="U35" s="6">
        <f>IF(OR(B35="",F35="Excluded",S35&lt;&gt;"Yes",T35="",AND(AK35="Yes",M35="")),"",IF(N(IF(AI35="Delivery",M35,IF(OR(M35="",N(AH35)=0),"",MAX(M35,AH35))))=0,IF(Config!$C$14&lt;=T35,"Pending","No"),IF(IF(AI35="Delivery",M35,IF(OR(M35="",N(AH35)=0),"",MAX(M35,AH35)))&lt;=T35,"Yes","No")))</f>
        <v/>
      </c>
      <c r="V35" s="15" t="n"/>
      <c r="W35" s="15" t="n"/>
      <c r="X35" s="6">
        <f>IF(OR(B35="",F35="Excluded",V35&lt;&gt;"Yes",W35="",AND(AK35="Yes",M35="")),"",IF(N(IF(Config!$C$24="Handover",IF(OR(M35="",N(AH35)=0),"",MAX(M35,AH35)),M35))=0,IF(Config!$C$14&lt;=W35,"Pending","No"),IF(IF(Config!$C$24="Handover",IF(OR(M35="",N(AH35)=0),"",MAX(M35,AH35)),M35)&lt;=W35,"Yes","No")))</f>
        <v/>
      </c>
      <c r="Y35" s="15" t="n"/>
      <c r="Z35" s="21" t="n"/>
      <c r="AA35" s="4" t="n"/>
      <c r="AB35" s="4" t="n"/>
      <c r="AC35" s="4" t="n"/>
      <c r="AD35" s="20" t="n"/>
      <c r="AE35" s="20" t="n"/>
      <c r="AF35" s="4" t="n"/>
      <c r="AG35" s="4" t="n"/>
      <c r="AH35" s="11">
        <f>IF(B35="","",IFERROR(INDEX(Periods!$H$5:$H$200,MATCH($B35,Periods!$B$5:$B$200,0)),""))</f>
        <v/>
      </c>
      <c r="AI35" s="11">
        <f>IF(B35="","",IF(COUNTIFS(Periods!$B$5:$B$200,$B35,Periods!$N$5:$N$200,"Handover")&gt;0,"Handover",IF(COUNTIFS(Periods!$B$5:$B$200,$B35,Periods!$N$5:$N$200,"Delivery")&gt;0,"Delivery",Config!$C$42)))</f>
        <v/>
      </c>
      <c r="AJ35" s="11" t="n"/>
      <c r="AK35" s="4" t="n"/>
      <c r="AL35" s="4" t="n"/>
      <c r="AM35" s="4" t="n"/>
      <c r="AN35" s="11" t="n"/>
      <c r="AO35" s="11">
        <f>IF(OR(B35="",N(M35)=0),"No",IF(Config!$C$18="Story Points",IF(AND(F35&lt;&gt;"Excluded",LEN(I35)=0),"Yes","No"),IF(AND(OR(AND(F35&lt;&gt;"Excluded",AM35="No group"),AL35="Yes"),OR(LEN(AD35)=0,AND(Config!$C$19="Dev + QA",N(N35)&gt;0,LEN(AE35)=0))),"Yes","No")))</f>
        <v/>
      </c>
      <c r="AP35" s="4" t="n"/>
    </row>
    <row r="36">
      <c r="A36" s="6">
        <f>IF(B36="","",ROW()-3)</f>
        <v/>
      </c>
      <c r="B36" s="15" t="n"/>
      <c r="C36" s="4" t="n"/>
      <c r="D36" s="4" t="n"/>
      <c r="E36" s="4" t="n"/>
      <c r="F36" s="15" t="n"/>
      <c r="G36" s="15" t="n"/>
      <c r="H36" s="8">
        <f>IF(OR(B36="",AND(AD36="",AE36="")),"",N(AD36)+IF(AND(Config!$C$19="Dev + QA",N36&lt;&gt;""),N(AE36),0))</f>
        <v/>
      </c>
      <c r="I36" s="20" t="n"/>
      <c r="J36" s="4" t="n"/>
      <c r="K36" s="4" t="n"/>
      <c r="L36" s="4" t="n"/>
      <c r="M36" s="15" t="n"/>
      <c r="N36" s="15" t="n"/>
      <c r="O36" s="6">
        <f>IF(B36="","",IF(M36&lt;&gt;"","Done","Open"))</f>
        <v/>
      </c>
      <c r="P36" s="15" t="n"/>
      <c r="Q36" s="4" t="n"/>
      <c r="R36" s="4" t="n"/>
      <c r="S36" s="15" t="n"/>
      <c r="T36" s="15" t="n"/>
      <c r="U36" s="6">
        <f>IF(OR(B36="",F36="Excluded",S36&lt;&gt;"Yes",T36="",AND(AK36="Yes",M36="")),"",IF(N(IF(AI36="Delivery",M36,IF(OR(M36="",N(AH36)=0),"",MAX(M36,AH36))))=0,IF(Config!$C$14&lt;=T36,"Pending","No"),IF(IF(AI36="Delivery",M36,IF(OR(M36="",N(AH36)=0),"",MAX(M36,AH36)))&lt;=T36,"Yes","No")))</f>
        <v/>
      </c>
      <c r="V36" s="15" t="n"/>
      <c r="W36" s="15" t="n"/>
      <c r="X36" s="6">
        <f>IF(OR(B36="",F36="Excluded",V36&lt;&gt;"Yes",W36="",AND(AK36="Yes",M36="")),"",IF(N(IF(Config!$C$24="Handover",IF(OR(M36="",N(AH36)=0),"",MAX(M36,AH36)),M36))=0,IF(Config!$C$14&lt;=W36,"Pending","No"),IF(IF(Config!$C$24="Handover",IF(OR(M36="",N(AH36)=0),"",MAX(M36,AH36)),M36)&lt;=W36,"Yes","No")))</f>
        <v/>
      </c>
      <c r="Y36" s="15" t="n"/>
      <c r="Z36" s="21" t="n"/>
      <c r="AA36" s="4" t="n"/>
      <c r="AB36" s="4" t="n"/>
      <c r="AC36" s="4" t="n"/>
      <c r="AD36" s="20" t="n"/>
      <c r="AE36" s="20" t="n"/>
      <c r="AF36" s="4" t="n"/>
      <c r="AG36" s="4" t="n"/>
      <c r="AH36" s="11">
        <f>IF(B36="","",IFERROR(INDEX(Periods!$H$5:$H$200,MATCH($B36,Periods!$B$5:$B$200,0)),""))</f>
        <v/>
      </c>
      <c r="AI36" s="11">
        <f>IF(B36="","",IF(COUNTIFS(Periods!$B$5:$B$200,$B36,Periods!$N$5:$N$200,"Handover")&gt;0,"Handover",IF(COUNTIFS(Periods!$B$5:$B$200,$B36,Periods!$N$5:$N$200,"Delivery")&gt;0,"Delivery",Config!$C$42)))</f>
        <v/>
      </c>
      <c r="AJ36" s="11" t="n"/>
      <c r="AK36" s="4" t="n"/>
      <c r="AL36" s="4" t="n"/>
      <c r="AM36" s="4" t="n"/>
      <c r="AN36" s="11" t="n"/>
      <c r="AO36" s="11">
        <f>IF(OR(B36="",N(M36)=0),"No",IF(Config!$C$18="Story Points",IF(AND(F36&lt;&gt;"Excluded",LEN(I36)=0),"Yes","No"),IF(AND(OR(AND(F36&lt;&gt;"Excluded",AM36="No group"),AL36="Yes"),OR(LEN(AD36)=0,AND(Config!$C$19="Dev + QA",N(N36)&gt;0,LEN(AE36)=0))),"Yes","No")))</f>
        <v/>
      </c>
      <c r="AP36" s="4" t="n"/>
    </row>
    <row r="37">
      <c r="A37" s="6">
        <f>IF(B37="","",ROW()-3)</f>
        <v/>
      </c>
      <c r="B37" s="15" t="n"/>
      <c r="C37" s="4" t="n"/>
      <c r="D37" s="4" t="n"/>
      <c r="E37" s="4" t="n"/>
      <c r="F37" s="15" t="n"/>
      <c r="G37" s="15" t="n"/>
      <c r="H37" s="8">
        <f>IF(OR(B37="",AND(AD37="",AE37="")),"",N(AD37)+IF(AND(Config!$C$19="Dev + QA",N37&lt;&gt;""),N(AE37),0))</f>
        <v/>
      </c>
      <c r="I37" s="20" t="n"/>
      <c r="J37" s="4" t="n"/>
      <c r="K37" s="4" t="n"/>
      <c r="L37" s="4" t="n"/>
      <c r="M37" s="15" t="n"/>
      <c r="N37" s="15" t="n"/>
      <c r="O37" s="6">
        <f>IF(B37="","",IF(M37&lt;&gt;"","Done","Open"))</f>
        <v/>
      </c>
      <c r="P37" s="15" t="n"/>
      <c r="Q37" s="4" t="n"/>
      <c r="R37" s="4" t="n"/>
      <c r="S37" s="15" t="n"/>
      <c r="T37" s="15" t="n"/>
      <c r="U37" s="6">
        <f>IF(OR(B37="",F37="Excluded",S37&lt;&gt;"Yes",T37="",AND(AK37="Yes",M37="")),"",IF(N(IF(AI37="Delivery",M37,IF(OR(M37="",N(AH37)=0),"",MAX(M37,AH37))))=0,IF(Config!$C$14&lt;=T37,"Pending","No"),IF(IF(AI37="Delivery",M37,IF(OR(M37="",N(AH37)=0),"",MAX(M37,AH37)))&lt;=T37,"Yes","No")))</f>
        <v/>
      </c>
      <c r="V37" s="15" t="n"/>
      <c r="W37" s="15" t="n"/>
      <c r="X37" s="6">
        <f>IF(OR(B37="",F37="Excluded",V37&lt;&gt;"Yes",W37="",AND(AK37="Yes",M37="")),"",IF(N(IF(Config!$C$24="Handover",IF(OR(M37="",N(AH37)=0),"",MAX(M37,AH37)),M37))=0,IF(Config!$C$14&lt;=W37,"Pending","No"),IF(IF(Config!$C$24="Handover",IF(OR(M37="",N(AH37)=0),"",MAX(M37,AH37)),M37)&lt;=W37,"Yes","No")))</f>
        <v/>
      </c>
      <c r="Y37" s="15" t="n"/>
      <c r="Z37" s="21" t="n"/>
      <c r="AA37" s="4" t="n"/>
      <c r="AB37" s="4" t="n"/>
      <c r="AC37" s="4" t="n"/>
      <c r="AD37" s="20" t="n"/>
      <c r="AE37" s="20" t="n"/>
      <c r="AF37" s="4" t="n"/>
      <c r="AG37" s="4" t="n"/>
      <c r="AH37" s="11">
        <f>IF(B37="","",IFERROR(INDEX(Periods!$H$5:$H$200,MATCH($B37,Periods!$B$5:$B$200,0)),""))</f>
        <v/>
      </c>
      <c r="AI37" s="11">
        <f>IF(B37="","",IF(COUNTIFS(Periods!$B$5:$B$200,$B37,Periods!$N$5:$N$200,"Handover")&gt;0,"Handover",IF(COUNTIFS(Periods!$B$5:$B$200,$B37,Periods!$N$5:$N$200,"Delivery")&gt;0,"Delivery",Config!$C$42)))</f>
        <v/>
      </c>
      <c r="AJ37" s="11" t="n"/>
      <c r="AK37" s="4" t="n"/>
      <c r="AL37" s="4" t="n"/>
      <c r="AM37" s="4" t="n"/>
      <c r="AN37" s="11" t="n"/>
      <c r="AO37" s="11">
        <f>IF(OR(B37="",N(M37)=0),"No",IF(Config!$C$18="Story Points",IF(AND(F37&lt;&gt;"Excluded",LEN(I37)=0),"Yes","No"),IF(AND(OR(AND(F37&lt;&gt;"Excluded",AM37="No group"),AL37="Yes"),OR(LEN(AD37)=0,AND(Config!$C$19="Dev + QA",N(N37)&gt;0,LEN(AE37)=0))),"Yes","No")))</f>
        <v/>
      </c>
      <c r="AP37" s="4" t="n"/>
    </row>
    <row r="38">
      <c r="A38" s="6">
        <f>IF(B38="","",ROW()-3)</f>
        <v/>
      </c>
      <c r="B38" s="15" t="n"/>
      <c r="C38" s="4" t="n"/>
      <c r="D38" s="4" t="n"/>
      <c r="E38" s="4" t="n"/>
      <c r="F38" s="15" t="n"/>
      <c r="G38" s="15" t="n"/>
      <c r="H38" s="8">
        <f>IF(OR(B38="",AND(AD38="",AE38="")),"",N(AD38)+IF(AND(Config!$C$19="Dev + QA",N38&lt;&gt;""),N(AE38),0))</f>
        <v/>
      </c>
      <c r="I38" s="20" t="n"/>
      <c r="J38" s="4" t="n"/>
      <c r="K38" s="4" t="n"/>
      <c r="L38" s="4" t="n"/>
      <c r="M38" s="15" t="n"/>
      <c r="N38" s="15" t="n"/>
      <c r="O38" s="6">
        <f>IF(B38="","",IF(M38&lt;&gt;"","Done","Open"))</f>
        <v/>
      </c>
      <c r="P38" s="15" t="n"/>
      <c r="Q38" s="4" t="n"/>
      <c r="R38" s="4" t="n"/>
      <c r="S38" s="15" t="n"/>
      <c r="T38" s="15" t="n"/>
      <c r="U38" s="6">
        <f>IF(OR(B38="",F38="Excluded",S38&lt;&gt;"Yes",T38="",AND(AK38="Yes",M38="")),"",IF(N(IF(AI38="Delivery",M38,IF(OR(M38="",N(AH38)=0),"",MAX(M38,AH38))))=0,IF(Config!$C$14&lt;=T38,"Pending","No"),IF(IF(AI38="Delivery",M38,IF(OR(M38="",N(AH38)=0),"",MAX(M38,AH38)))&lt;=T38,"Yes","No")))</f>
        <v/>
      </c>
      <c r="V38" s="15" t="n"/>
      <c r="W38" s="15" t="n"/>
      <c r="X38" s="6">
        <f>IF(OR(B38="",F38="Excluded",V38&lt;&gt;"Yes",W38="",AND(AK38="Yes",M38="")),"",IF(N(IF(Config!$C$24="Handover",IF(OR(M38="",N(AH38)=0),"",MAX(M38,AH38)),M38))=0,IF(Config!$C$14&lt;=W38,"Pending","No"),IF(IF(Config!$C$24="Handover",IF(OR(M38="",N(AH38)=0),"",MAX(M38,AH38)),M38)&lt;=W38,"Yes","No")))</f>
        <v/>
      </c>
      <c r="Y38" s="15" t="n"/>
      <c r="Z38" s="21" t="n"/>
      <c r="AA38" s="4" t="n"/>
      <c r="AB38" s="4" t="n"/>
      <c r="AC38" s="4" t="n"/>
      <c r="AD38" s="20" t="n"/>
      <c r="AE38" s="20" t="n"/>
      <c r="AF38" s="4" t="n"/>
      <c r="AG38" s="4" t="n"/>
      <c r="AH38" s="11">
        <f>IF(B38="","",IFERROR(INDEX(Periods!$H$5:$H$200,MATCH($B38,Periods!$B$5:$B$200,0)),""))</f>
        <v/>
      </c>
      <c r="AI38" s="11">
        <f>IF(B38="","",IF(COUNTIFS(Periods!$B$5:$B$200,$B38,Periods!$N$5:$N$200,"Handover")&gt;0,"Handover",IF(COUNTIFS(Periods!$B$5:$B$200,$B38,Periods!$N$5:$N$200,"Delivery")&gt;0,"Delivery",Config!$C$42)))</f>
        <v/>
      </c>
      <c r="AJ38" s="11" t="n"/>
      <c r="AK38" s="4" t="n"/>
      <c r="AL38" s="4" t="n"/>
      <c r="AM38" s="4" t="n"/>
      <c r="AN38" s="11" t="n"/>
      <c r="AO38" s="11">
        <f>IF(OR(B38="",N(M38)=0),"No",IF(Config!$C$18="Story Points",IF(AND(F38&lt;&gt;"Excluded",LEN(I38)=0),"Yes","No"),IF(AND(OR(AND(F38&lt;&gt;"Excluded",AM38="No group"),AL38="Yes"),OR(LEN(AD38)=0,AND(Config!$C$19="Dev + QA",N(N38)&gt;0,LEN(AE38)=0))),"Yes","No")))</f>
        <v/>
      </c>
      <c r="AP38" s="4" t="n"/>
    </row>
    <row r="39">
      <c r="A39" s="6">
        <f>IF(B39="","",ROW()-3)</f>
        <v/>
      </c>
      <c r="B39" s="15" t="n"/>
      <c r="C39" s="4" t="n"/>
      <c r="D39" s="4" t="n"/>
      <c r="E39" s="4" t="n"/>
      <c r="F39" s="15" t="n"/>
      <c r="G39" s="15" t="n"/>
      <c r="H39" s="8">
        <f>IF(OR(B39="",AND(AD39="",AE39="")),"",N(AD39)+IF(AND(Config!$C$19="Dev + QA",N39&lt;&gt;""),N(AE39),0))</f>
        <v/>
      </c>
      <c r="I39" s="20" t="n"/>
      <c r="J39" s="4" t="n"/>
      <c r="K39" s="4" t="n"/>
      <c r="L39" s="4" t="n"/>
      <c r="M39" s="15" t="n"/>
      <c r="N39" s="15" t="n"/>
      <c r="O39" s="6">
        <f>IF(B39="","",IF(M39&lt;&gt;"","Done","Open"))</f>
        <v/>
      </c>
      <c r="P39" s="15" t="n"/>
      <c r="Q39" s="4" t="n"/>
      <c r="R39" s="4" t="n"/>
      <c r="S39" s="15" t="n"/>
      <c r="T39" s="15" t="n"/>
      <c r="U39" s="6">
        <f>IF(OR(B39="",F39="Excluded",S39&lt;&gt;"Yes",T39="",AND(AK39="Yes",M39="")),"",IF(N(IF(AI39="Delivery",M39,IF(OR(M39="",N(AH39)=0),"",MAX(M39,AH39))))=0,IF(Config!$C$14&lt;=T39,"Pending","No"),IF(IF(AI39="Delivery",M39,IF(OR(M39="",N(AH39)=0),"",MAX(M39,AH39)))&lt;=T39,"Yes","No")))</f>
        <v/>
      </c>
      <c r="V39" s="15" t="n"/>
      <c r="W39" s="15" t="n"/>
      <c r="X39" s="6">
        <f>IF(OR(B39="",F39="Excluded",V39&lt;&gt;"Yes",W39="",AND(AK39="Yes",M39="")),"",IF(N(IF(Config!$C$24="Handover",IF(OR(M39="",N(AH39)=0),"",MAX(M39,AH39)),M39))=0,IF(Config!$C$14&lt;=W39,"Pending","No"),IF(IF(Config!$C$24="Handover",IF(OR(M39="",N(AH39)=0),"",MAX(M39,AH39)),M39)&lt;=W39,"Yes","No")))</f>
        <v/>
      </c>
      <c r="Y39" s="15" t="n"/>
      <c r="Z39" s="21" t="n"/>
      <c r="AA39" s="4" t="n"/>
      <c r="AB39" s="4" t="n"/>
      <c r="AC39" s="4" t="n"/>
      <c r="AD39" s="20" t="n"/>
      <c r="AE39" s="20" t="n"/>
      <c r="AF39" s="4" t="n"/>
      <c r="AG39" s="4" t="n"/>
      <c r="AH39" s="11">
        <f>IF(B39="","",IFERROR(INDEX(Periods!$H$5:$H$200,MATCH($B39,Periods!$B$5:$B$200,0)),""))</f>
        <v/>
      </c>
      <c r="AI39" s="11">
        <f>IF(B39="","",IF(COUNTIFS(Periods!$B$5:$B$200,$B39,Periods!$N$5:$N$200,"Handover")&gt;0,"Handover",IF(COUNTIFS(Periods!$B$5:$B$200,$B39,Periods!$N$5:$N$200,"Delivery")&gt;0,"Delivery",Config!$C$42)))</f>
        <v/>
      </c>
      <c r="AJ39" s="11" t="n"/>
      <c r="AK39" s="4" t="n"/>
      <c r="AL39" s="4" t="n"/>
      <c r="AM39" s="4" t="n"/>
      <c r="AN39" s="11" t="n"/>
      <c r="AO39" s="11">
        <f>IF(OR(B39="",N(M39)=0),"No",IF(Config!$C$18="Story Points",IF(AND(F39&lt;&gt;"Excluded",LEN(I39)=0),"Yes","No"),IF(AND(OR(AND(F39&lt;&gt;"Excluded",AM39="No group"),AL39="Yes"),OR(LEN(AD39)=0,AND(Config!$C$19="Dev + QA",N(N39)&gt;0,LEN(AE39)=0))),"Yes","No")))</f>
        <v/>
      </c>
      <c r="AP39" s="4" t="n"/>
    </row>
    <row r="40">
      <c r="A40" s="6">
        <f>IF(B40="","",ROW()-3)</f>
        <v/>
      </c>
      <c r="B40" s="15" t="n"/>
      <c r="C40" s="4" t="n"/>
      <c r="D40" s="4" t="n"/>
      <c r="E40" s="4" t="n"/>
      <c r="F40" s="15" t="n"/>
      <c r="G40" s="15" t="n"/>
      <c r="H40" s="8">
        <f>IF(OR(B40="",AND(AD40="",AE40="")),"",N(AD40)+IF(AND(Config!$C$19="Dev + QA",N40&lt;&gt;""),N(AE40),0))</f>
        <v/>
      </c>
      <c r="I40" s="20" t="n"/>
      <c r="J40" s="4" t="n"/>
      <c r="K40" s="4" t="n"/>
      <c r="L40" s="4" t="n"/>
      <c r="M40" s="15" t="n"/>
      <c r="N40" s="15" t="n"/>
      <c r="O40" s="6">
        <f>IF(B40="","",IF(M40&lt;&gt;"","Done","Open"))</f>
        <v/>
      </c>
      <c r="P40" s="15" t="n"/>
      <c r="Q40" s="4" t="n"/>
      <c r="R40" s="4" t="n"/>
      <c r="S40" s="15" t="n"/>
      <c r="T40" s="15" t="n"/>
      <c r="U40" s="6">
        <f>IF(OR(B40="",F40="Excluded",S40&lt;&gt;"Yes",T40="",AND(AK40="Yes",M40="")),"",IF(N(IF(AI40="Delivery",M40,IF(OR(M40="",N(AH40)=0),"",MAX(M40,AH40))))=0,IF(Config!$C$14&lt;=T40,"Pending","No"),IF(IF(AI40="Delivery",M40,IF(OR(M40="",N(AH40)=0),"",MAX(M40,AH40)))&lt;=T40,"Yes","No")))</f>
        <v/>
      </c>
      <c r="V40" s="15" t="n"/>
      <c r="W40" s="15" t="n"/>
      <c r="X40" s="6">
        <f>IF(OR(B40="",F40="Excluded",V40&lt;&gt;"Yes",W40="",AND(AK40="Yes",M40="")),"",IF(N(IF(Config!$C$24="Handover",IF(OR(M40="",N(AH40)=0),"",MAX(M40,AH40)),M40))=0,IF(Config!$C$14&lt;=W40,"Pending","No"),IF(IF(Config!$C$24="Handover",IF(OR(M40="",N(AH40)=0),"",MAX(M40,AH40)),M40)&lt;=W40,"Yes","No")))</f>
        <v/>
      </c>
      <c r="Y40" s="15" t="n"/>
      <c r="Z40" s="21" t="n"/>
      <c r="AA40" s="4" t="n"/>
      <c r="AB40" s="4" t="n"/>
      <c r="AC40" s="4" t="n"/>
      <c r="AD40" s="20" t="n"/>
      <c r="AE40" s="20" t="n"/>
      <c r="AF40" s="4" t="n"/>
      <c r="AG40" s="4" t="n"/>
      <c r="AH40" s="11">
        <f>IF(B40="","",IFERROR(INDEX(Periods!$H$5:$H$200,MATCH($B40,Periods!$B$5:$B$200,0)),""))</f>
        <v/>
      </c>
      <c r="AI40" s="11">
        <f>IF(B40="","",IF(COUNTIFS(Periods!$B$5:$B$200,$B40,Periods!$N$5:$N$200,"Handover")&gt;0,"Handover",IF(COUNTIFS(Periods!$B$5:$B$200,$B40,Periods!$N$5:$N$200,"Delivery")&gt;0,"Delivery",Config!$C$42)))</f>
        <v/>
      </c>
      <c r="AJ40" s="11" t="n"/>
      <c r="AK40" s="4" t="n"/>
      <c r="AL40" s="4" t="n"/>
      <c r="AM40" s="4" t="n"/>
      <c r="AN40" s="11" t="n"/>
      <c r="AO40" s="11">
        <f>IF(OR(B40="",N(M40)=0),"No",IF(Config!$C$18="Story Points",IF(AND(F40&lt;&gt;"Excluded",LEN(I40)=0),"Yes","No"),IF(AND(OR(AND(F40&lt;&gt;"Excluded",AM40="No group"),AL40="Yes"),OR(LEN(AD40)=0,AND(Config!$C$19="Dev + QA",N(N40)&gt;0,LEN(AE40)=0))),"Yes","No")))</f>
        <v/>
      </c>
      <c r="AP40" s="4" t="n"/>
    </row>
    <row r="41">
      <c r="A41" s="6">
        <f>IF(B41="","",ROW()-3)</f>
        <v/>
      </c>
      <c r="B41" s="15" t="n"/>
      <c r="C41" s="4" t="n"/>
      <c r="D41" s="4" t="n"/>
      <c r="E41" s="4" t="n"/>
      <c r="F41" s="15" t="n"/>
      <c r="G41" s="15" t="n"/>
      <c r="H41" s="8">
        <f>IF(OR(B41="",AND(AD41="",AE41="")),"",N(AD41)+IF(AND(Config!$C$19="Dev + QA",N41&lt;&gt;""),N(AE41),0))</f>
        <v/>
      </c>
      <c r="I41" s="20" t="n"/>
      <c r="J41" s="4" t="n"/>
      <c r="K41" s="4" t="n"/>
      <c r="L41" s="4" t="n"/>
      <c r="M41" s="15" t="n"/>
      <c r="N41" s="15" t="n"/>
      <c r="O41" s="6">
        <f>IF(B41="","",IF(M41&lt;&gt;"","Done","Open"))</f>
        <v/>
      </c>
      <c r="P41" s="15" t="n"/>
      <c r="Q41" s="4" t="n"/>
      <c r="R41" s="4" t="n"/>
      <c r="S41" s="15" t="n"/>
      <c r="T41" s="15" t="n"/>
      <c r="U41" s="6">
        <f>IF(OR(B41="",F41="Excluded",S41&lt;&gt;"Yes",T41="",AND(AK41="Yes",M41="")),"",IF(N(IF(AI41="Delivery",M41,IF(OR(M41="",N(AH41)=0),"",MAX(M41,AH41))))=0,IF(Config!$C$14&lt;=T41,"Pending","No"),IF(IF(AI41="Delivery",M41,IF(OR(M41="",N(AH41)=0),"",MAX(M41,AH41)))&lt;=T41,"Yes","No")))</f>
        <v/>
      </c>
      <c r="V41" s="15" t="n"/>
      <c r="W41" s="15" t="n"/>
      <c r="X41" s="6">
        <f>IF(OR(B41="",F41="Excluded",V41&lt;&gt;"Yes",W41="",AND(AK41="Yes",M41="")),"",IF(N(IF(Config!$C$24="Handover",IF(OR(M41="",N(AH41)=0),"",MAX(M41,AH41)),M41))=0,IF(Config!$C$14&lt;=W41,"Pending","No"),IF(IF(Config!$C$24="Handover",IF(OR(M41="",N(AH41)=0),"",MAX(M41,AH41)),M41)&lt;=W41,"Yes","No")))</f>
        <v/>
      </c>
      <c r="Y41" s="15" t="n"/>
      <c r="Z41" s="21" t="n"/>
      <c r="AA41" s="4" t="n"/>
      <c r="AB41" s="4" t="n"/>
      <c r="AC41" s="4" t="n"/>
      <c r="AD41" s="20" t="n"/>
      <c r="AE41" s="20" t="n"/>
      <c r="AF41" s="4" t="n"/>
      <c r="AG41" s="4" t="n"/>
      <c r="AH41" s="11">
        <f>IF(B41="","",IFERROR(INDEX(Periods!$H$5:$H$200,MATCH($B41,Periods!$B$5:$B$200,0)),""))</f>
        <v/>
      </c>
      <c r="AI41" s="11">
        <f>IF(B41="","",IF(COUNTIFS(Periods!$B$5:$B$200,$B41,Periods!$N$5:$N$200,"Handover")&gt;0,"Handover",IF(COUNTIFS(Periods!$B$5:$B$200,$B41,Periods!$N$5:$N$200,"Delivery")&gt;0,"Delivery",Config!$C$42)))</f>
        <v/>
      </c>
      <c r="AJ41" s="11" t="n"/>
      <c r="AK41" s="4" t="n"/>
      <c r="AL41" s="4" t="n"/>
      <c r="AM41" s="4" t="n"/>
      <c r="AN41" s="11" t="n"/>
      <c r="AO41" s="11">
        <f>IF(OR(B41="",N(M41)=0),"No",IF(Config!$C$18="Story Points",IF(AND(F41&lt;&gt;"Excluded",LEN(I41)=0),"Yes","No"),IF(AND(OR(AND(F41&lt;&gt;"Excluded",AM41="No group"),AL41="Yes"),OR(LEN(AD41)=0,AND(Config!$C$19="Dev + QA",N(N41)&gt;0,LEN(AE41)=0))),"Yes","No")))</f>
        <v/>
      </c>
      <c r="AP41" s="4" t="n"/>
    </row>
    <row r="42">
      <c r="A42" s="6">
        <f>IF(B42="","",ROW()-3)</f>
        <v/>
      </c>
      <c r="B42" s="15" t="n"/>
      <c r="C42" s="4" t="n"/>
      <c r="D42" s="4" t="n"/>
      <c r="E42" s="4" t="n"/>
      <c r="F42" s="15" t="n"/>
      <c r="G42" s="15" t="n"/>
      <c r="H42" s="8">
        <f>IF(OR(B42="",AND(AD42="",AE42="")),"",N(AD42)+IF(AND(Config!$C$19="Dev + QA",N42&lt;&gt;""),N(AE42),0))</f>
        <v/>
      </c>
      <c r="I42" s="20" t="n"/>
      <c r="J42" s="4" t="n"/>
      <c r="K42" s="4" t="n"/>
      <c r="L42" s="4" t="n"/>
      <c r="M42" s="15" t="n"/>
      <c r="N42" s="15" t="n"/>
      <c r="O42" s="6">
        <f>IF(B42="","",IF(M42&lt;&gt;"","Done","Open"))</f>
        <v/>
      </c>
      <c r="P42" s="15" t="n"/>
      <c r="Q42" s="4" t="n"/>
      <c r="R42" s="4" t="n"/>
      <c r="S42" s="15" t="n"/>
      <c r="T42" s="15" t="n"/>
      <c r="U42" s="6">
        <f>IF(OR(B42="",F42="Excluded",S42&lt;&gt;"Yes",T42="",AND(AK42="Yes",M42="")),"",IF(N(IF(AI42="Delivery",M42,IF(OR(M42="",N(AH42)=0),"",MAX(M42,AH42))))=0,IF(Config!$C$14&lt;=T42,"Pending","No"),IF(IF(AI42="Delivery",M42,IF(OR(M42="",N(AH42)=0),"",MAX(M42,AH42)))&lt;=T42,"Yes","No")))</f>
        <v/>
      </c>
      <c r="V42" s="15" t="n"/>
      <c r="W42" s="15" t="n"/>
      <c r="X42" s="6">
        <f>IF(OR(B42="",F42="Excluded",V42&lt;&gt;"Yes",W42="",AND(AK42="Yes",M42="")),"",IF(N(IF(Config!$C$24="Handover",IF(OR(M42="",N(AH42)=0),"",MAX(M42,AH42)),M42))=0,IF(Config!$C$14&lt;=W42,"Pending","No"),IF(IF(Config!$C$24="Handover",IF(OR(M42="",N(AH42)=0),"",MAX(M42,AH42)),M42)&lt;=W42,"Yes","No")))</f>
        <v/>
      </c>
      <c r="Y42" s="15" t="n"/>
      <c r="Z42" s="21" t="n"/>
      <c r="AA42" s="4" t="n"/>
      <c r="AB42" s="4" t="n"/>
      <c r="AC42" s="4" t="n"/>
      <c r="AD42" s="20" t="n"/>
      <c r="AE42" s="20" t="n"/>
      <c r="AF42" s="4" t="n"/>
      <c r="AG42" s="4" t="n"/>
      <c r="AH42" s="11">
        <f>IF(B42="","",IFERROR(INDEX(Periods!$H$5:$H$200,MATCH($B42,Periods!$B$5:$B$200,0)),""))</f>
        <v/>
      </c>
      <c r="AI42" s="11">
        <f>IF(B42="","",IF(COUNTIFS(Periods!$B$5:$B$200,$B42,Periods!$N$5:$N$200,"Handover")&gt;0,"Handover",IF(COUNTIFS(Periods!$B$5:$B$200,$B42,Periods!$N$5:$N$200,"Delivery")&gt;0,"Delivery",Config!$C$42)))</f>
        <v/>
      </c>
      <c r="AJ42" s="11" t="n"/>
      <c r="AK42" s="4" t="n"/>
      <c r="AL42" s="4" t="n"/>
      <c r="AM42" s="4" t="n"/>
      <c r="AN42" s="11" t="n"/>
      <c r="AO42" s="11">
        <f>IF(OR(B42="",N(M42)=0),"No",IF(Config!$C$18="Story Points",IF(AND(F42&lt;&gt;"Excluded",LEN(I42)=0),"Yes","No"),IF(AND(OR(AND(F42&lt;&gt;"Excluded",AM42="No group"),AL42="Yes"),OR(LEN(AD42)=0,AND(Config!$C$19="Dev + QA",N(N42)&gt;0,LEN(AE42)=0))),"Yes","No")))</f>
        <v/>
      </c>
      <c r="AP42" s="4" t="n"/>
    </row>
    <row r="43">
      <c r="A43" s="6">
        <f>IF(B43="","",ROW()-3)</f>
        <v/>
      </c>
      <c r="B43" s="15" t="n"/>
      <c r="C43" s="4" t="n"/>
      <c r="D43" s="4" t="n"/>
      <c r="E43" s="4" t="n"/>
      <c r="F43" s="15" t="n"/>
      <c r="G43" s="15" t="n"/>
      <c r="H43" s="8">
        <f>IF(OR(B43="",AND(AD43="",AE43="")),"",N(AD43)+IF(AND(Config!$C$19="Dev + QA",N43&lt;&gt;""),N(AE43),0))</f>
        <v/>
      </c>
      <c r="I43" s="20" t="n"/>
      <c r="J43" s="4" t="n"/>
      <c r="K43" s="4" t="n"/>
      <c r="L43" s="4" t="n"/>
      <c r="M43" s="15" t="n"/>
      <c r="N43" s="15" t="n"/>
      <c r="O43" s="6">
        <f>IF(B43="","",IF(M43&lt;&gt;"","Done","Open"))</f>
        <v/>
      </c>
      <c r="P43" s="15" t="n"/>
      <c r="Q43" s="4" t="n"/>
      <c r="R43" s="4" t="n"/>
      <c r="S43" s="15" t="n"/>
      <c r="T43" s="15" t="n"/>
      <c r="U43" s="6">
        <f>IF(OR(B43="",F43="Excluded",S43&lt;&gt;"Yes",T43="",AND(AK43="Yes",M43="")),"",IF(N(IF(AI43="Delivery",M43,IF(OR(M43="",N(AH43)=0),"",MAX(M43,AH43))))=0,IF(Config!$C$14&lt;=T43,"Pending","No"),IF(IF(AI43="Delivery",M43,IF(OR(M43="",N(AH43)=0),"",MAX(M43,AH43)))&lt;=T43,"Yes","No")))</f>
        <v/>
      </c>
      <c r="V43" s="15" t="n"/>
      <c r="W43" s="15" t="n"/>
      <c r="X43" s="6">
        <f>IF(OR(B43="",F43="Excluded",V43&lt;&gt;"Yes",W43="",AND(AK43="Yes",M43="")),"",IF(N(IF(Config!$C$24="Handover",IF(OR(M43="",N(AH43)=0),"",MAX(M43,AH43)),M43))=0,IF(Config!$C$14&lt;=W43,"Pending","No"),IF(IF(Config!$C$24="Handover",IF(OR(M43="",N(AH43)=0),"",MAX(M43,AH43)),M43)&lt;=W43,"Yes","No")))</f>
        <v/>
      </c>
      <c r="Y43" s="15" t="n"/>
      <c r="Z43" s="21" t="n"/>
      <c r="AA43" s="4" t="n"/>
      <c r="AB43" s="4" t="n"/>
      <c r="AC43" s="4" t="n"/>
      <c r="AD43" s="20" t="n"/>
      <c r="AE43" s="20" t="n"/>
      <c r="AF43" s="4" t="n"/>
      <c r="AG43" s="4" t="n"/>
      <c r="AH43" s="11">
        <f>IF(B43="","",IFERROR(INDEX(Periods!$H$5:$H$200,MATCH($B43,Periods!$B$5:$B$200,0)),""))</f>
        <v/>
      </c>
      <c r="AI43" s="11">
        <f>IF(B43="","",IF(COUNTIFS(Periods!$B$5:$B$200,$B43,Periods!$N$5:$N$200,"Handover")&gt;0,"Handover",IF(COUNTIFS(Periods!$B$5:$B$200,$B43,Periods!$N$5:$N$200,"Delivery")&gt;0,"Delivery",Config!$C$42)))</f>
        <v/>
      </c>
      <c r="AJ43" s="11" t="n"/>
      <c r="AK43" s="4" t="n"/>
      <c r="AL43" s="4" t="n"/>
      <c r="AM43" s="4" t="n"/>
      <c r="AN43" s="11" t="n"/>
      <c r="AO43" s="11">
        <f>IF(OR(B43="",N(M43)=0),"No",IF(Config!$C$18="Story Points",IF(AND(F43&lt;&gt;"Excluded",LEN(I43)=0),"Yes","No"),IF(AND(OR(AND(F43&lt;&gt;"Excluded",AM43="No group"),AL43="Yes"),OR(LEN(AD43)=0,AND(Config!$C$19="Dev + QA",N(N43)&gt;0,LEN(AE43)=0))),"Yes","No")))</f>
        <v/>
      </c>
      <c r="AP43" s="4" t="n"/>
    </row>
    <row r="44">
      <c r="A44" s="6">
        <f>IF(B44="","",ROW()-3)</f>
        <v/>
      </c>
      <c r="B44" s="15" t="n"/>
      <c r="C44" s="4" t="n"/>
      <c r="D44" s="4" t="n"/>
      <c r="E44" s="4" t="n"/>
      <c r="F44" s="15" t="n"/>
      <c r="G44" s="15" t="n"/>
      <c r="H44" s="8">
        <f>IF(OR(B44="",AND(AD44="",AE44="")),"",N(AD44)+IF(AND(Config!$C$19="Dev + QA",N44&lt;&gt;""),N(AE44),0))</f>
        <v/>
      </c>
      <c r="I44" s="20" t="n"/>
      <c r="J44" s="4" t="n"/>
      <c r="K44" s="4" t="n"/>
      <c r="L44" s="4" t="n"/>
      <c r="M44" s="15" t="n"/>
      <c r="N44" s="15" t="n"/>
      <c r="O44" s="6">
        <f>IF(B44="","",IF(M44&lt;&gt;"","Done","Open"))</f>
        <v/>
      </c>
      <c r="P44" s="15" t="n"/>
      <c r="Q44" s="4" t="n"/>
      <c r="R44" s="4" t="n"/>
      <c r="S44" s="15" t="n"/>
      <c r="T44" s="15" t="n"/>
      <c r="U44" s="6">
        <f>IF(OR(B44="",F44="Excluded",S44&lt;&gt;"Yes",T44="",AND(AK44="Yes",M44="")),"",IF(N(IF(AI44="Delivery",M44,IF(OR(M44="",N(AH44)=0),"",MAX(M44,AH44))))=0,IF(Config!$C$14&lt;=T44,"Pending","No"),IF(IF(AI44="Delivery",M44,IF(OR(M44="",N(AH44)=0),"",MAX(M44,AH44)))&lt;=T44,"Yes","No")))</f>
        <v/>
      </c>
      <c r="V44" s="15" t="n"/>
      <c r="W44" s="15" t="n"/>
      <c r="X44" s="6">
        <f>IF(OR(B44="",F44="Excluded",V44&lt;&gt;"Yes",W44="",AND(AK44="Yes",M44="")),"",IF(N(IF(Config!$C$24="Handover",IF(OR(M44="",N(AH44)=0),"",MAX(M44,AH44)),M44))=0,IF(Config!$C$14&lt;=W44,"Pending","No"),IF(IF(Config!$C$24="Handover",IF(OR(M44="",N(AH44)=0),"",MAX(M44,AH44)),M44)&lt;=W44,"Yes","No")))</f>
        <v/>
      </c>
      <c r="Y44" s="15" t="n"/>
      <c r="Z44" s="21" t="n"/>
      <c r="AA44" s="4" t="n"/>
      <c r="AB44" s="4" t="n"/>
      <c r="AC44" s="4" t="n"/>
      <c r="AD44" s="20" t="n"/>
      <c r="AE44" s="20" t="n"/>
      <c r="AF44" s="4" t="n"/>
      <c r="AG44" s="4" t="n"/>
      <c r="AH44" s="11">
        <f>IF(B44="","",IFERROR(INDEX(Periods!$H$5:$H$200,MATCH($B44,Periods!$B$5:$B$200,0)),""))</f>
        <v/>
      </c>
      <c r="AI44" s="11">
        <f>IF(B44="","",IF(COUNTIFS(Periods!$B$5:$B$200,$B44,Periods!$N$5:$N$200,"Handover")&gt;0,"Handover",IF(COUNTIFS(Periods!$B$5:$B$200,$B44,Periods!$N$5:$N$200,"Delivery")&gt;0,"Delivery",Config!$C$42)))</f>
        <v/>
      </c>
      <c r="AJ44" s="11" t="n"/>
      <c r="AK44" s="4" t="n"/>
      <c r="AL44" s="4" t="n"/>
      <c r="AM44" s="4" t="n"/>
      <c r="AN44" s="11" t="n"/>
      <c r="AO44" s="11">
        <f>IF(OR(B44="",N(M44)=0),"No",IF(Config!$C$18="Story Points",IF(AND(F44&lt;&gt;"Excluded",LEN(I44)=0),"Yes","No"),IF(AND(OR(AND(F44&lt;&gt;"Excluded",AM44="No group"),AL44="Yes"),OR(LEN(AD44)=0,AND(Config!$C$19="Dev + QA",N(N44)&gt;0,LEN(AE44)=0))),"Yes","No")))</f>
        <v/>
      </c>
      <c r="AP44" s="4" t="n"/>
    </row>
    <row r="45">
      <c r="A45" s="6">
        <f>IF(B45="","",ROW()-3)</f>
        <v/>
      </c>
      <c r="B45" s="15" t="n"/>
      <c r="C45" s="4" t="n"/>
      <c r="D45" s="4" t="n"/>
      <c r="E45" s="4" t="n"/>
      <c r="F45" s="15" t="n"/>
      <c r="G45" s="15" t="n"/>
      <c r="H45" s="8">
        <f>IF(OR(B45="",AND(AD45="",AE45="")),"",N(AD45)+IF(AND(Config!$C$19="Dev + QA",N45&lt;&gt;""),N(AE45),0))</f>
        <v/>
      </c>
      <c r="I45" s="20" t="n"/>
      <c r="J45" s="4" t="n"/>
      <c r="K45" s="4" t="n"/>
      <c r="L45" s="4" t="n"/>
      <c r="M45" s="15" t="n"/>
      <c r="N45" s="15" t="n"/>
      <c r="O45" s="6">
        <f>IF(B45="","",IF(M45&lt;&gt;"","Done","Open"))</f>
        <v/>
      </c>
      <c r="P45" s="15" t="n"/>
      <c r="Q45" s="4" t="n"/>
      <c r="R45" s="4" t="n"/>
      <c r="S45" s="15" t="n"/>
      <c r="T45" s="15" t="n"/>
      <c r="U45" s="6">
        <f>IF(OR(B45="",F45="Excluded",S45&lt;&gt;"Yes",T45="",AND(AK45="Yes",M45="")),"",IF(N(IF(AI45="Delivery",M45,IF(OR(M45="",N(AH45)=0),"",MAX(M45,AH45))))=0,IF(Config!$C$14&lt;=T45,"Pending","No"),IF(IF(AI45="Delivery",M45,IF(OR(M45="",N(AH45)=0),"",MAX(M45,AH45)))&lt;=T45,"Yes","No")))</f>
        <v/>
      </c>
      <c r="V45" s="15" t="n"/>
      <c r="W45" s="15" t="n"/>
      <c r="X45" s="6">
        <f>IF(OR(B45="",F45="Excluded",V45&lt;&gt;"Yes",W45="",AND(AK45="Yes",M45="")),"",IF(N(IF(Config!$C$24="Handover",IF(OR(M45="",N(AH45)=0),"",MAX(M45,AH45)),M45))=0,IF(Config!$C$14&lt;=W45,"Pending","No"),IF(IF(Config!$C$24="Handover",IF(OR(M45="",N(AH45)=0),"",MAX(M45,AH45)),M45)&lt;=W45,"Yes","No")))</f>
        <v/>
      </c>
      <c r="Y45" s="15" t="n"/>
      <c r="Z45" s="21" t="n"/>
      <c r="AA45" s="4" t="n"/>
      <c r="AB45" s="4" t="n"/>
      <c r="AC45" s="4" t="n"/>
      <c r="AD45" s="20" t="n"/>
      <c r="AE45" s="20" t="n"/>
      <c r="AF45" s="4" t="n"/>
      <c r="AG45" s="4" t="n"/>
      <c r="AH45" s="11">
        <f>IF(B45="","",IFERROR(INDEX(Periods!$H$5:$H$200,MATCH($B45,Periods!$B$5:$B$200,0)),""))</f>
        <v/>
      </c>
      <c r="AI45" s="11">
        <f>IF(B45="","",IF(COUNTIFS(Periods!$B$5:$B$200,$B45,Periods!$N$5:$N$200,"Handover")&gt;0,"Handover",IF(COUNTIFS(Periods!$B$5:$B$200,$B45,Periods!$N$5:$N$200,"Delivery")&gt;0,"Delivery",Config!$C$42)))</f>
        <v/>
      </c>
      <c r="AJ45" s="11" t="n"/>
      <c r="AK45" s="4" t="n"/>
      <c r="AL45" s="4" t="n"/>
      <c r="AM45" s="4" t="n"/>
      <c r="AN45" s="11" t="n"/>
      <c r="AO45" s="11">
        <f>IF(OR(B45="",N(M45)=0),"No",IF(Config!$C$18="Story Points",IF(AND(F45&lt;&gt;"Excluded",LEN(I45)=0),"Yes","No"),IF(AND(OR(AND(F45&lt;&gt;"Excluded",AM45="No group"),AL45="Yes"),OR(LEN(AD45)=0,AND(Config!$C$19="Dev + QA",N(N45)&gt;0,LEN(AE45)=0))),"Yes","No")))</f>
        <v/>
      </c>
      <c r="AP45" s="4" t="n"/>
    </row>
    <row r="46">
      <c r="A46" s="6">
        <f>IF(B46="","",ROW()-3)</f>
        <v/>
      </c>
      <c r="B46" s="15" t="n"/>
      <c r="C46" s="4" t="n"/>
      <c r="D46" s="4" t="n"/>
      <c r="E46" s="4" t="n"/>
      <c r="F46" s="15" t="n"/>
      <c r="G46" s="15" t="n"/>
      <c r="H46" s="8">
        <f>IF(OR(B46="",AND(AD46="",AE46="")),"",N(AD46)+IF(AND(Config!$C$19="Dev + QA",N46&lt;&gt;""),N(AE46),0))</f>
        <v/>
      </c>
      <c r="I46" s="20" t="n"/>
      <c r="J46" s="4" t="n"/>
      <c r="K46" s="4" t="n"/>
      <c r="L46" s="4" t="n"/>
      <c r="M46" s="15" t="n"/>
      <c r="N46" s="15" t="n"/>
      <c r="O46" s="6">
        <f>IF(B46="","",IF(M46&lt;&gt;"","Done","Open"))</f>
        <v/>
      </c>
      <c r="P46" s="15" t="n"/>
      <c r="Q46" s="4" t="n"/>
      <c r="R46" s="4" t="n"/>
      <c r="S46" s="15" t="n"/>
      <c r="T46" s="15" t="n"/>
      <c r="U46" s="6">
        <f>IF(OR(B46="",F46="Excluded",S46&lt;&gt;"Yes",T46="",AND(AK46="Yes",M46="")),"",IF(N(IF(AI46="Delivery",M46,IF(OR(M46="",N(AH46)=0),"",MAX(M46,AH46))))=0,IF(Config!$C$14&lt;=T46,"Pending","No"),IF(IF(AI46="Delivery",M46,IF(OR(M46="",N(AH46)=0),"",MAX(M46,AH46)))&lt;=T46,"Yes","No")))</f>
        <v/>
      </c>
      <c r="V46" s="15" t="n"/>
      <c r="W46" s="15" t="n"/>
      <c r="X46" s="6">
        <f>IF(OR(B46="",F46="Excluded",V46&lt;&gt;"Yes",W46="",AND(AK46="Yes",M46="")),"",IF(N(IF(Config!$C$24="Handover",IF(OR(M46="",N(AH46)=0),"",MAX(M46,AH46)),M46))=0,IF(Config!$C$14&lt;=W46,"Pending","No"),IF(IF(Config!$C$24="Handover",IF(OR(M46="",N(AH46)=0),"",MAX(M46,AH46)),M46)&lt;=W46,"Yes","No")))</f>
        <v/>
      </c>
      <c r="Y46" s="15" t="n"/>
      <c r="Z46" s="21" t="n"/>
      <c r="AA46" s="4" t="n"/>
      <c r="AB46" s="4" t="n"/>
      <c r="AC46" s="4" t="n"/>
      <c r="AD46" s="20" t="n"/>
      <c r="AE46" s="20" t="n"/>
      <c r="AF46" s="4" t="n"/>
      <c r="AG46" s="4" t="n"/>
      <c r="AH46" s="11">
        <f>IF(B46="","",IFERROR(INDEX(Periods!$H$5:$H$200,MATCH($B46,Periods!$B$5:$B$200,0)),""))</f>
        <v/>
      </c>
      <c r="AI46" s="11">
        <f>IF(B46="","",IF(COUNTIFS(Periods!$B$5:$B$200,$B46,Periods!$N$5:$N$200,"Handover")&gt;0,"Handover",IF(COUNTIFS(Periods!$B$5:$B$200,$B46,Periods!$N$5:$N$200,"Delivery")&gt;0,"Delivery",Config!$C$42)))</f>
        <v/>
      </c>
      <c r="AJ46" s="11" t="n"/>
      <c r="AK46" s="4" t="n"/>
      <c r="AL46" s="4" t="n"/>
      <c r="AM46" s="4" t="n"/>
      <c r="AN46" s="11" t="n"/>
      <c r="AO46" s="11">
        <f>IF(OR(B46="",N(M46)=0),"No",IF(Config!$C$18="Story Points",IF(AND(F46&lt;&gt;"Excluded",LEN(I46)=0),"Yes","No"),IF(AND(OR(AND(F46&lt;&gt;"Excluded",AM46="No group"),AL46="Yes"),OR(LEN(AD46)=0,AND(Config!$C$19="Dev + QA",N(N46)&gt;0,LEN(AE46)=0))),"Yes","No")))</f>
        <v/>
      </c>
      <c r="AP46" s="4" t="n"/>
    </row>
    <row r="47">
      <c r="A47" s="6">
        <f>IF(B47="","",ROW()-3)</f>
        <v/>
      </c>
      <c r="B47" s="15" t="n"/>
      <c r="C47" s="4" t="n"/>
      <c r="D47" s="4" t="n"/>
      <c r="E47" s="4" t="n"/>
      <c r="F47" s="15" t="n"/>
      <c r="G47" s="15" t="n"/>
      <c r="H47" s="8">
        <f>IF(OR(B47="",AND(AD47="",AE47="")),"",N(AD47)+IF(AND(Config!$C$19="Dev + QA",N47&lt;&gt;""),N(AE47),0))</f>
        <v/>
      </c>
      <c r="I47" s="20" t="n"/>
      <c r="J47" s="4" t="n"/>
      <c r="K47" s="4" t="n"/>
      <c r="L47" s="4" t="n"/>
      <c r="M47" s="15" t="n"/>
      <c r="N47" s="15" t="n"/>
      <c r="O47" s="6">
        <f>IF(B47="","",IF(M47&lt;&gt;"","Done","Open"))</f>
        <v/>
      </c>
      <c r="P47" s="15" t="n"/>
      <c r="Q47" s="4" t="n"/>
      <c r="R47" s="4" t="n"/>
      <c r="S47" s="15" t="n"/>
      <c r="T47" s="15" t="n"/>
      <c r="U47" s="6">
        <f>IF(OR(B47="",F47="Excluded",S47&lt;&gt;"Yes",T47="",AND(AK47="Yes",M47="")),"",IF(N(IF(AI47="Delivery",M47,IF(OR(M47="",N(AH47)=0),"",MAX(M47,AH47))))=0,IF(Config!$C$14&lt;=T47,"Pending","No"),IF(IF(AI47="Delivery",M47,IF(OR(M47="",N(AH47)=0),"",MAX(M47,AH47)))&lt;=T47,"Yes","No")))</f>
        <v/>
      </c>
      <c r="V47" s="15" t="n"/>
      <c r="W47" s="15" t="n"/>
      <c r="X47" s="6">
        <f>IF(OR(B47="",F47="Excluded",V47&lt;&gt;"Yes",W47="",AND(AK47="Yes",M47="")),"",IF(N(IF(Config!$C$24="Handover",IF(OR(M47="",N(AH47)=0),"",MAX(M47,AH47)),M47))=0,IF(Config!$C$14&lt;=W47,"Pending","No"),IF(IF(Config!$C$24="Handover",IF(OR(M47="",N(AH47)=0),"",MAX(M47,AH47)),M47)&lt;=W47,"Yes","No")))</f>
        <v/>
      </c>
      <c r="Y47" s="15" t="n"/>
      <c r="Z47" s="21" t="n"/>
      <c r="AA47" s="4" t="n"/>
      <c r="AB47" s="4" t="n"/>
      <c r="AC47" s="4" t="n"/>
      <c r="AD47" s="20" t="n"/>
      <c r="AE47" s="20" t="n"/>
      <c r="AF47" s="4" t="n"/>
      <c r="AG47" s="4" t="n"/>
      <c r="AH47" s="11">
        <f>IF(B47="","",IFERROR(INDEX(Periods!$H$5:$H$200,MATCH($B47,Periods!$B$5:$B$200,0)),""))</f>
        <v/>
      </c>
      <c r="AI47" s="11">
        <f>IF(B47="","",IF(COUNTIFS(Periods!$B$5:$B$200,$B47,Periods!$N$5:$N$200,"Handover")&gt;0,"Handover",IF(COUNTIFS(Periods!$B$5:$B$200,$B47,Periods!$N$5:$N$200,"Delivery")&gt;0,"Delivery",Config!$C$42)))</f>
        <v/>
      </c>
      <c r="AJ47" s="11" t="n"/>
      <c r="AK47" s="4" t="n"/>
      <c r="AL47" s="4" t="n"/>
      <c r="AM47" s="4" t="n"/>
      <c r="AN47" s="11" t="n"/>
      <c r="AO47" s="11">
        <f>IF(OR(B47="",N(M47)=0),"No",IF(Config!$C$18="Story Points",IF(AND(F47&lt;&gt;"Excluded",LEN(I47)=0),"Yes","No"),IF(AND(OR(AND(F47&lt;&gt;"Excluded",AM47="No group"),AL47="Yes"),OR(LEN(AD47)=0,AND(Config!$C$19="Dev + QA",N(N47)&gt;0,LEN(AE47)=0))),"Yes","No")))</f>
        <v/>
      </c>
      <c r="AP47" s="4" t="n"/>
    </row>
    <row r="48">
      <c r="A48" s="6">
        <f>IF(B48="","",ROW()-3)</f>
        <v/>
      </c>
      <c r="B48" s="15" t="n"/>
      <c r="C48" s="4" t="n"/>
      <c r="D48" s="4" t="n"/>
      <c r="E48" s="4" t="n"/>
      <c r="F48" s="15" t="n"/>
      <c r="G48" s="15" t="n"/>
      <c r="H48" s="8">
        <f>IF(OR(B48="",AND(AD48="",AE48="")),"",N(AD48)+IF(AND(Config!$C$19="Dev + QA",N48&lt;&gt;""),N(AE48),0))</f>
        <v/>
      </c>
      <c r="I48" s="20" t="n"/>
      <c r="J48" s="4" t="n"/>
      <c r="K48" s="4" t="n"/>
      <c r="L48" s="4" t="n"/>
      <c r="M48" s="15" t="n"/>
      <c r="N48" s="15" t="n"/>
      <c r="O48" s="6">
        <f>IF(B48="","",IF(M48&lt;&gt;"","Done","Open"))</f>
        <v/>
      </c>
      <c r="P48" s="15" t="n"/>
      <c r="Q48" s="4" t="n"/>
      <c r="R48" s="4" t="n"/>
      <c r="S48" s="15" t="n"/>
      <c r="T48" s="15" t="n"/>
      <c r="U48" s="6">
        <f>IF(OR(B48="",F48="Excluded",S48&lt;&gt;"Yes",T48="",AND(AK48="Yes",M48="")),"",IF(N(IF(AI48="Delivery",M48,IF(OR(M48="",N(AH48)=0),"",MAX(M48,AH48))))=0,IF(Config!$C$14&lt;=T48,"Pending","No"),IF(IF(AI48="Delivery",M48,IF(OR(M48="",N(AH48)=0),"",MAX(M48,AH48)))&lt;=T48,"Yes","No")))</f>
        <v/>
      </c>
      <c r="V48" s="15" t="n"/>
      <c r="W48" s="15" t="n"/>
      <c r="X48" s="6">
        <f>IF(OR(B48="",F48="Excluded",V48&lt;&gt;"Yes",W48="",AND(AK48="Yes",M48="")),"",IF(N(IF(Config!$C$24="Handover",IF(OR(M48="",N(AH48)=0),"",MAX(M48,AH48)),M48))=0,IF(Config!$C$14&lt;=W48,"Pending","No"),IF(IF(Config!$C$24="Handover",IF(OR(M48="",N(AH48)=0),"",MAX(M48,AH48)),M48)&lt;=W48,"Yes","No")))</f>
        <v/>
      </c>
      <c r="Y48" s="15" t="n"/>
      <c r="Z48" s="21" t="n"/>
      <c r="AA48" s="4" t="n"/>
      <c r="AB48" s="4" t="n"/>
      <c r="AC48" s="4" t="n"/>
      <c r="AD48" s="20" t="n"/>
      <c r="AE48" s="20" t="n"/>
      <c r="AF48" s="4" t="n"/>
      <c r="AG48" s="4" t="n"/>
      <c r="AH48" s="11">
        <f>IF(B48="","",IFERROR(INDEX(Periods!$H$5:$H$200,MATCH($B48,Periods!$B$5:$B$200,0)),""))</f>
        <v/>
      </c>
      <c r="AI48" s="11">
        <f>IF(B48="","",IF(COUNTIFS(Periods!$B$5:$B$200,$B48,Periods!$N$5:$N$200,"Handover")&gt;0,"Handover",IF(COUNTIFS(Periods!$B$5:$B$200,$B48,Periods!$N$5:$N$200,"Delivery")&gt;0,"Delivery",Config!$C$42)))</f>
        <v/>
      </c>
      <c r="AJ48" s="11" t="n"/>
      <c r="AK48" s="4" t="n"/>
      <c r="AL48" s="4" t="n"/>
      <c r="AM48" s="4" t="n"/>
      <c r="AN48" s="11" t="n"/>
      <c r="AO48" s="11">
        <f>IF(OR(B48="",N(M48)=0),"No",IF(Config!$C$18="Story Points",IF(AND(F48&lt;&gt;"Excluded",LEN(I48)=0),"Yes","No"),IF(AND(OR(AND(F48&lt;&gt;"Excluded",AM48="No group"),AL48="Yes"),OR(LEN(AD48)=0,AND(Config!$C$19="Dev + QA",N(N48)&gt;0,LEN(AE48)=0))),"Yes","No")))</f>
        <v/>
      </c>
      <c r="AP48" s="4" t="n"/>
    </row>
    <row r="49">
      <c r="A49" s="6">
        <f>IF(B49="","",ROW()-3)</f>
        <v/>
      </c>
      <c r="B49" s="15" t="n"/>
      <c r="C49" s="4" t="n"/>
      <c r="D49" s="4" t="n"/>
      <c r="E49" s="4" t="n"/>
      <c r="F49" s="15" t="n"/>
      <c r="G49" s="15" t="n"/>
      <c r="H49" s="8">
        <f>IF(OR(B49="",AND(AD49="",AE49="")),"",N(AD49)+IF(AND(Config!$C$19="Dev + QA",N49&lt;&gt;""),N(AE49),0))</f>
        <v/>
      </c>
      <c r="I49" s="20" t="n"/>
      <c r="J49" s="4" t="n"/>
      <c r="K49" s="4" t="n"/>
      <c r="L49" s="4" t="n"/>
      <c r="M49" s="15" t="n"/>
      <c r="N49" s="15" t="n"/>
      <c r="O49" s="6">
        <f>IF(B49="","",IF(M49&lt;&gt;"","Done","Open"))</f>
        <v/>
      </c>
      <c r="P49" s="15" t="n"/>
      <c r="Q49" s="4" t="n"/>
      <c r="R49" s="4" t="n"/>
      <c r="S49" s="15" t="n"/>
      <c r="T49" s="15" t="n"/>
      <c r="U49" s="6">
        <f>IF(OR(B49="",F49="Excluded",S49&lt;&gt;"Yes",T49="",AND(AK49="Yes",M49="")),"",IF(N(IF(AI49="Delivery",M49,IF(OR(M49="",N(AH49)=0),"",MAX(M49,AH49))))=0,IF(Config!$C$14&lt;=T49,"Pending","No"),IF(IF(AI49="Delivery",M49,IF(OR(M49="",N(AH49)=0),"",MAX(M49,AH49)))&lt;=T49,"Yes","No")))</f>
        <v/>
      </c>
      <c r="V49" s="15" t="n"/>
      <c r="W49" s="15" t="n"/>
      <c r="X49" s="6">
        <f>IF(OR(B49="",F49="Excluded",V49&lt;&gt;"Yes",W49="",AND(AK49="Yes",M49="")),"",IF(N(IF(Config!$C$24="Handover",IF(OR(M49="",N(AH49)=0),"",MAX(M49,AH49)),M49))=0,IF(Config!$C$14&lt;=W49,"Pending","No"),IF(IF(Config!$C$24="Handover",IF(OR(M49="",N(AH49)=0),"",MAX(M49,AH49)),M49)&lt;=W49,"Yes","No")))</f>
        <v/>
      </c>
      <c r="Y49" s="15" t="n"/>
      <c r="Z49" s="21" t="n"/>
      <c r="AA49" s="4" t="n"/>
      <c r="AB49" s="4" t="n"/>
      <c r="AC49" s="4" t="n"/>
      <c r="AD49" s="20" t="n"/>
      <c r="AE49" s="20" t="n"/>
      <c r="AF49" s="4" t="n"/>
      <c r="AG49" s="4" t="n"/>
      <c r="AH49" s="11">
        <f>IF(B49="","",IFERROR(INDEX(Periods!$H$5:$H$200,MATCH($B49,Periods!$B$5:$B$200,0)),""))</f>
        <v/>
      </c>
      <c r="AI49" s="11">
        <f>IF(B49="","",IF(COUNTIFS(Periods!$B$5:$B$200,$B49,Periods!$N$5:$N$200,"Handover")&gt;0,"Handover",IF(COUNTIFS(Periods!$B$5:$B$200,$B49,Periods!$N$5:$N$200,"Delivery")&gt;0,"Delivery",Config!$C$42)))</f>
        <v/>
      </c>
      <c r="AJ49" s="11" t="n"/>
      <c r="AK49" s="4" t="n"/>
      <c r="AL49" s="4" t="n"/>
      <c r="AM49" s="4" t="n"/>
      <c r="AN49" s="11" t="n"/>
      <c r="AO49" s="11">
        <f>IF(OR(B49="",N(M49)=0),"No",IF(Config!$C$18="Story Points",IF(AND(F49&lt;&gt;"Excluded",LEN(I49)=0),"Yes","No"),IF(AND(OR(AND(F49&lt;&gt;"Excluded",AM49="No group"),AL49="Yes"),OR(LEN(AD49)=0,AND(Config!$C$19="Dev + QA",N(N49)&gt;0,LEN(AE49)=0))),"Yes","No")))</f>
        <v/>
      </c>
      <c r="AP49" s="4" t="n"/>
    </row>
    <row r="50">
      <c r="A50" s="6">
        <f>IF(B50="","",ROW()-3)</f>
        <v/>
      </c>
      <c r="B50" s="15" t="n"/>
      <c r="C50" s="4" t="n"/>
      <c r="D50" s="4" t="n"/>
      <c r="E50" s="4" t="n"/>
      <c r="F50" s="15" t="n"/>
      <c r="G50" s="15" t="n"/>
      <c r="H50" s="8">
        <f>IF(OR(B50="",AND(AD50="",AE50="")),"",N(AD50)+IF(AND(Config!$C$19="Dev + QA",N50&lt;&gt;""),N(AE50),0))</f>
        <v/>
      </c>
      <c r="I50" s="20" t="n"/>
      <c r="J50" s="4" t="n"/>
      <c r="K50" s="4" t="n"/>
      <c r="L50" s="4" t="n"/>
      <c r="M50" s="15" t="n"/>
      <c r="N50" s="15" t="n"/>
      <c r="O50" s="6">
        <f>IF(B50="","",IF(M50&lt;&gt;"","Done","Open"))</f>
        <v/>
      </c>
      <c r="P50" s="15" t="n"/>
      <c r="Q50" s="4" t="n"/>
      <c r="R50" s="4" t="n"/>
      <c r="S50" s="15" t="n"/>
      <c r="T50" s="15" t="n"/>
      <c r="U50" s="6">
        <f>IF(OR(B50="",F50="Excluded",S50&lt;&gt;"Yes",T50="",AND(AK50="Yes",M50="")),"",IF(N(IF(AI50="Delivery",M50,IF(OR(M50="",N(AH50)=0),"",MAX(M50,AH50))))=0,IF(Config!$C$14&lt;=T50,"Pending","No"),IF(IF(AI50="Delivery",M50,IF(OR(M50="",N(AH50)=0),"",MAX(M50,AH50)))&lt;=T50,"Yes","No")))</f>
        <v/>
      </c>
      <c r="V50" s="15" t="n"/>
      <c r="W50" s="15" t="n"/>
      <c r="X50" s="6">
        <f>IF(OR(B50="",F50="Excluded",V50&lt;&gt;"Yes",W50="",AND(AK50="Yes",M50="")),"",IF(N(IF(Config!$C$24="Handover",IF(OR(M50="",N(AH50)=0),"",MAX(M50,AH50)),M50))=0,IF(Config!$C$14&lt;=W50,"Pending","No"),IF(IF(Config!$C$24="Handover",IF(OR(M50="",N(AH50)=0),"",MAX(M50,AH50)),M50)&lt;=W50,"Yes","No")))</f>
        <v/>
      </c>
      <c r="Y50" s="15" t="n"/>
      <c r="Z50" s="21" t="n"/>
      <c r="AA50" s="4" t="n"/>
      <c r="AB50" s="4" t="n"/>
      <c r="AC50" s="4" t="n"/>
      <c r="AD50" s="20" t="n"/>
      <c r="AE50" s="20" t="n"/>
      <c r="AF50" s="4" t="n"/>
      <c r="AG50" s="4" t="n"/>
      <c r="AH50" s="11">
        <f>IF(B50="","",IFERROR(INDEX(Periods!$H$5:$H$200,MATCH($B50,Periods!$B$5:$B$200,0)),""))</f>
        <v/>
      </c>
      <c r="AI50" s="11">
        <f>IF(B50="","",IF(COUNTIFS(Periods!$B$5:$B$200,$B50,Periods!$N$5:$N$200,"Handover")&gt;0,"Handover",IF(COUNTIFS(Periods!$B$5:$B$200,$B50,Periods!$N$5:$N$200,"Delivery")&gt;0,"Delivery",Config!$C$42)))</f>
        <v/>
      </c>
      <c r="AJ50" s="11" t="n"/>
      <c r="AK50" s="4" t="n"/>
      <c r="AL50" s="4" t="n"/>
      <c r="AM50" s="4" t="n"/>
      <c r="AN50" s="11" t="n"/>
      <c r="AO50" s="11">
        <f>IF(OR(B50="",N(M50)=0),"No",IF(Config!$C$18="Story Points",IF(AND(F50&lt;&gt;"Excluded",LEN(I50)=0),"Yes","No"),IF(AND(OR(AND(F50&lt;&gt;"Excluded",AM50="No group"),AL50="Yes"),OR(LEN(AD50)=0,AND(Config!$C$19="Dev + QA",N(N50)&gt;0,LEN(AE50)=0))),"Yes","No")))</f>
        <v/>
      </c>
      <c r="AP50" s="4" t="n"/>
    </row>
    <row r="51">
      <c r="A51" s="6">
        <f>IF(B51="","",ROW()-3)</f>
        <v/>
      </c>
      <c r="B51" s="15" t="n"/>
      <c r="C51" s="4" t="n"/>
      <c r="D51" s="4" t="n"/>
      <c r="E51" s="4" t="n"/>
      <c r="F51" s="15" t="n"/>
      <c r="G51" s="15" t="n"/>
      <c r="H51" s="8">
        <f>IF(OR(B51="",AND(AD51="",AE51="")),"",N(AD51)+IF(AND(Config!$C$19="Dev + QA",N51&lt;&gt;""),N(AE51),0))</f>
        <v/>
      </c>
      <c r="I51" s="20" t="n"/>
      <c r="J51" s="4" t="n"/>
      <c r="K51" s="4" t="n"/>
      <c r="L51" s="4" t="n"/>
      <c r="M51" s="15" t="n"/>
      <c r="N51" s="15" t="n"/>
      <c r="O51" s="6">
        <f>IF(B51="","",IF(M51&lt;&gt;"","Done","Open"))</f>
        <v/>
      </c>
      <c r="P51" s="15" t="n"/>
      <c r="Q51" s="4" t="n"/>
      <c r="R51" s="4" t="n"/>
      <c r="S51" s="15" t="n"/>
      <c r="T51" s="15" t="n"/>
      <c r="U51" s="6">
        <f>IF(OR(B51="",F51="Excluded",S51&lt;&gt;"Yes",T51="",AND(AK51="Yes",M51="")),"",IF(N(IF(AI51="Delivery",M51,IF(OR(M51="",N(AH51)=0),"",MAX(M51,AH51))))=0,IF(Config!$C$14&lt;=T51,"Pending","No"),IF(IF(AI51="Delivery",M51,IF(OR(M51="",N(AH51)=0),"",MAX(M51,AH51)))&lt;=T51,"Yes","No")))</f>
        <v/>
      </c>
      <c r="V51" s="15" t="n"/>
      <c r="W51" s="15" t="n"/>
      <c r="X51" s="6">
        <f>IF(OR(B51="",F51="Excluded",V51&lt;&gt;"Yes",W51="",AND(AK51="Yes",M51="")),"",IF(N(IF(Config!$C$24="Handover",IF(OR(M51="",N(AH51)=0),"",MAX(M51,AH51)),M51))=0,IF(Config!$C$14&lt;=W51,"Pending","No"),IF(IF(Config!$C$24="Handover",IF(OR(M51="",N(AH51)=0),"",MAX(M51,AH51)),M51)&lt;=W51,"Yes","No")))</f>
        <v/>
      </c>
      <c r="Y51" s="15" t="n"/>
      <c r="Z51" s="21" t="n"/>
      <c r="AA51" s="4" t="n"/>
      <c r="AB51" s="4" t="n"/>
      <c r="AC51" s="4" t="n"/>
      <c r="AD51" s="20" t="n"/>
      <c r="AE51" s="20" t="n"/>
      <c r="AF51" s="4" t="n"/>
      <c r="AG51" s="4" t="n"/>
      <c r="AH51" s="11">
        <f>IF(B51="","",IFERROR(INDEX(Periods!$H$5:$H$200,MATCH($B51,Periods!$B$5:$B$200,0)),""))</f>
        <v/>
      </c>
      <c r="AI51" s="11">
        <f>IF(B51="","",IF(COUNTIFS(Periods!$B$5:$B$200,$B51,Periods!$N$5:$N$200,"Handover")&gt;0,"Handover",IF(COUNTIFS(Periods!$B$5:$B$200,$B51,Periods!$N$5:$N$200,"Delivery")&gt;0,"Delivery",Config!$C$42)))</f>
        <v/>
      </c>
      <c r="AJ51" s="11" t="n"/>
      <c r="AK51" s="4" t="n"/>
      <c r="AL51" s="4" t="n"/>
      <c r="AM51" s="4" t="n"/>
      <c r="AN51" s="11" t="n"/>
      <c r="AO51" s="11">
        <f>IF(OR(B51="",N(M51)=0),"No",IF(Config!$C$18="Story Points",IF(AND(F51&lt;&gt;"Excluded",LEN(I51)=0),"Yes","No"),IF(AND(OR(AND(F51&lt;&gt;"Excluded",AM51="No group"),AL51="Yes"),OR(LEN(AD51)=0,AND(Config!$C$19="Dev + QA",N(N51)&gt;0,LEN(AE51)=0))),"Yes","No")))</f>
        <v/>
      </c>
      <c r="AP51" s="4" t="n"/>
    </row>
    <row r="52">
      <c r="A52" s="6">
        <f>IF(B52="","",ROW()-3)</f>
        <v/>
      </c>
      <c r="B52" s="15" t="n"/>
      <c r="C52" s="4" t="n"/>
      <c r="D52" s="4" t="n"/>
      <c r="E52" s="4" t="n"/>
      <c r="F52" s="15" t="n"/>
      <c r="G52" s="15" t="n"/>
      <c r="H52" s="8">
        <f>IF(OR(B52="",AND(AD52="",AE52="")),"",N(AD52)+IF(AND(Config!$C$19="Dev + QA",N52&lt;&gt;""),N(AE52),0))</f>
        <v/>
      </c>
      <c r="I52" s="20" t="n"/>
      <c r="J52" s="4" t="n"/>
      <c r="K52" s="4" t="n"/>
      <c r="L52" s="4" t="n"/>
      <c r="M52" s="15" t="n"/>
      <c r="N52" s="15" t="n"/>
      <c r="O52" s="6">
        <f>IF(B52="","",IF(M52&lt;&gt;"","Done","Open"))</f>
        <v/>
      </c>
      <c r="P52" s="15" t="n"/>
      <c r="Q52" s="4" t="n"/>
      <c r="R52" s="4" t="n"/>
      <c r="S52" s="15" t="n"/>
      <c r="T52" s="15" t="n"/>
      <c r="U52" s="6">
        <f>IF(OR(B52="",F52="Excluded",S52&lt;&gt;"Yes",T52="",AND(AK52="Yes",M52="")),"",IF(N(IF(AI52="Delivery",M52,IF(OR(M52="",N(AH52)=0),"",MAX(M52,AH52))))=0,IF(Config!$C$14&lt;=T52,"Pending","No"),IF(IF(AI52="Delivery",M52,IF(OR(M52="",N(AH52)=0),"",MAX(M52,AH52)))&lt;=T52,"Yes","No")))</f>
        <v/>
      </c>
      <c r="V52" s="15" t="n"/>
      <c r="W52" s="15" t="n"/>
      <c r="X52" s="6">
        <f>IF(OR(B52="",F52="Excluded",V52&lt;&gt;"Yes",W52="",AND(AK52="Yes",M52="")),"",IF(N(IF(Config!$C$24="Handover",IF(OR(M52="",N(AH52)=0),"",MAX(M52,AH52)),M52))=0,IF(Config!$C$14&lt;=W52,"Pending","No"),IF(IF(Config!$C$24="Handover",IF(OR(M52="",N(AH52)=0),"",MAX(M52,AH52)),M52)&lt;=W52,"Yes","No")))</f>
        <v/>
      </c>
      <c r="Y52" s="15" t="n"/>
      <c r="Z52" s="21" t="n"/>
      <c r="AA52" s="4" t="n"/>
      <c r="AB52" s="4" t="n"/>
      <c r="AC52" s="4" t="n"/>
      <c r="AD52" s="20" t="n"/>
      <c r="AE52" s="20" t="n"/>
      <c r="AF52" s="4" t="n"/>
      <c r="AG52" s="4" t="n"/>
      <c r="AH52" s="11">
        <f>IF(B52="","",IFERROR(INDEX(Periods!$H$5:$H$200,MATCH($B52,Periods!$B$5:$B$200,0)),""))</f>
        <v/>
      </c>
      <c r="AI52" s="11">
        <f>IF(B52="","",IF(COUNTIFS(Periods!$B$5:$B$200,$B52,Periods!$N$5:$N$200,"Handover")&gt;0,"Handover",IF(COUNTIFS(Periods!$B$5:$B$200,$B52,Periods!$N$5:$N$200,"Delivery")&gt;0,"Delivery",Config!$C$42)))</f>
        <v/>
      </c>
      <c r="AJ52" s="11" t="n"/>
      <c r="AK52" s="4" t="n"/>
      <c r="AL52" s="4" t="n"/>
      <c r="AM52" s="4" t="n"/>
      <c r="AN52" s="11" t="n"/>
      <c r="AO52" s="11">
        <f>IF(OR(B52="",N(M52)=0),"No",IF(Config!$C$18="Story Points",IF(AND(F52&lt;&gt;"Excluded",LEN(I52)=0),"Yes","No"),IF(AND(OR(AND(F52&lt;&gt;"Excluded",AM52="No group"),AL52="Yes"),OR(LEN(AD52)=0,AND(Config!$C$19="Dev + QA",N(N52)&gt;0,LEN(AE52)=0))),"Yes","No")))</f>
        <v/>
      </c>
      <c r="AP52" s="4" t="n"/>
    </row>
    <row r="53">
      <c r="A53" s="6">
        <f>IF(B53="","",ROW()-3)</f>
        <v/>
      </c>
      <c r="B53" s="15" t="n"/>
      <c r="C53" s="4" t="n"/>
      <c r="D53" s="4" t="n"/>
      <c r="E53" s="4" t="n"/>
      <c r="F53" s="15" t="n"/>
      <c r="G53" s="15" t="n"/>
      <c r="H53" s="8">
        <f>IF(OR(B53="",AND(AD53="",AE53="")),"",N(AD53)+IF(AND(Config!$C$19="Dev + QA",N53&lt;&gt;""),N(AE53),0))</f>
        <v/>
      </c>
      <c r="I53" s="20" t="n"/>
      <c r="J53" s="4" t="n"/>
      <c r="K53" s="4" t="n"/>
      <c r="L53" s="4" t="n"/>
      <c r="M53" s="15" t="n"/>
      <c r="N53" s="15" t="n"/>
      <c r="O53" s="6">
        <f>IF(B53="","",IF(M53&lt;&gt;"","Done","Open"))</f>
        <v/>
      </c>
      <c r="P53" s="15" t="n"/>
      <c r="Q53" s="4" t="n"/>
      <c r="R53" s="4" t="n"/>
      <c r="S53" s="15" t="n"/>
      <c r="T53" s="15" t="n"/>
      <c r="U53" s="6">
        <f>IF(OR(B53="",F53="Excluded",S53&lt;&gt;"Yes",T53="",AND(AK53="Yes",M53="")),"",IF(N(IF(AI53="Delivery",M53,IF(OR(M53="",N(AH53)=0),"",MAX(M53,AH53))))=0,IF(Config!$C$14&lt;=T53,"Pending","No"),IF(IF(AI53="Delivery",M53,IF(OR(M53="",N(AH53)=0),"",MAX(M53,AH53)))&lt;=T53,"Yes","No")))</f>
        <v/>
      </c>
      <c r="V53" s="15" t="n"/>
      <c r="W53" s="15" t="n"/>
      <c r="X53" s="6">
        <f>IF(OR(B53="",F53="Excluded",V53&lt;&gt;"Yes",W53="",AND(AK53="Yes",M53="")),"",IF(N(IF(Config!$C$24="Handover",IF(OR(M53="",N(AH53)=0),"",MAX(M53,AH53)),M53))=0,IF(Config!$C$14&lt;=W53,"Pending","No"),IF(IF(Config!$C$24="Handover",IF(OR(M53="",N(AH53)=0),"",MAX(M53,AH53)),M53)&lt;=W53,"Yes","No")))</f>
        <v/>
      </c>
      <c r="Y53" s="15" t="n"/>
      <c r="Z53" s="21" t="n"/>
      <c r="AA53" s="4" t="n"/>
      <c r="AB53" s="4" t="n"/>
      <c r="AC53" s="4" t="n"/>
      <c r="AD53" s="20" t="n"/>
      <c r="AE53" s="20" t="n"/>
      <c r="AF53" s="4" t="n"/>
      <c r="AG53" s="4" t="n"/>
      <c r="AH53" s="11">
        <f>IF(B53="","",IFERROR(INDEX(Periods!$H$5:$H$200,MATCH($B53,Periods!$B$5:$B$200,0)),""))</f>
        <v/>
      </c>
      <c r="AI53" s="11">
        <f>IF(B53="","",IF(COUNTIFS(Periods!$B$5:$B$200,$B53,Periods!$N$5:$N$200,"Handover")&gt;0,"Handover",IF(COUNTIFS(Periods!$B$5:$B$200,$B53,Periods!$N$5:$N$200,"Delivery")&gt;0,"Delivery",Config!$C$42)))</f>
        <v/>
      </c>
      <c r="AJ53" s="11" t="n"/>
      <c r="AK53" s="4" t="n"/>
      <c r="AL53" s="4" t="n"/>
      <c r="AM53" s="4" t="n"/>
      <c r="AN53" s="11" t="n"/>
      <c r="AO53" s="11">
        <f>IF(OR(B53="",N(M53)=0),"No",IF(Config!$C$18="Story Points",IF(AND(F53&lt;&gt;"Excluded",LEN(I53)=0),"Yes","No"),IF(AND(OR(AND(F53&lt;&gt;"Excluded",AM53="No group"),AL53="Yes"),OR(LEN(AD53)=0,AND(Config!$C$19="Dev + QA",N(N53)&gt;0,LEN(AE53)=0))),"Yes","No")))</f>
        <v/>
      </c>
      <c r="AP53" s="4" t="n"/>
    </row>
    <row r="54">
      <c r="A54" s="6">
        <f>IF(B54="","",ROW()-3)</f>
        <v/>
      </c>
      <c r="B54" s="15" t="n"/>
      <c r="C54" s="4" t="n"/>
      <c r="D54" s="4" t="n"/>
      <c r="E54" s="4" t="n"/>
      <c r="F54" s="15" t="n"/>
      <c r="G54" s="15" t="n"/>
      <c r="H54" s="8">
        <f>IF(OR(B54="",AND(AD54="",AE54="")),"",N(AD54)+IF(AND(Config!$C$19="Dev + QA",N54&lt;&gt;""),N(AE54),0))</f>
        <v/>
      </c>
      <c r="I54" s="20" t="n"/>
      <c r="J54" s="4" t="n"/>
      <c r="K54" s="4" t="n"/>
      <c r="L54" s="4" t="n"/>
      <c r="M54" s="15" t="n"/>
      <c r="N54" s="15" t="n"/>
      <c r="O54" s="6">
        <f>IF(B54="","",IF(M54&lt;&gt;"","Done","Open"))</f>
        <v/>
      </c>
      <c r="P54" s="15" t="n"/>
      <c r="Q54" s="4" t="n"/>
      <c r="R54" s="4" t="n"/>
      <c r="S54" s="15" t="n"/>
      <c r="T54" s="15" t="n"/>
      <c r="U54" s="6">
        <f>IF(OR(B54="",F54="Excluded",S54&lt;&gt;"Yes",T54="",AND(AK54="Yes",M54="")),"",IF(N(IF(AI54="Delivery",M54,IF(OR(M54="",N(AH54)=0),"",MAX(M54,AH54))))=0,IF(Config!$C$14&lt;=T54,"Pending","No"),IF(IF(AI54="Delivery",M54,IF(OR(M54="",N(AH54)=0),"",MAX(M54,AH54)))&lt;=T54,"Yes","No")))</f>
        <v/>
      </c>
      <c r="V54" s="15" t="n"/>
      <c r="W54" s="15" t="n"/>
      <c r="X54" s="6">
        <f>IF(OR(B54="",F54="Excluded",V54&lt;&gt;"Yes",W54="",AND(AK54="Yes",M54="")),"",IF(N(IF(Config!$C$24="Handover",IF(OR(M54="",N(AH54)=0),"",MAX(M54,AH54)),M54))=0,IF(Config!$C$14&lt;=W54,"Pending","No"),IF(IF(Config!$C$24="Handover",IF(OR(M54="",N(AH54)=0),"",MAX(M54,AH54)),M54)&lt;=W54,"Yes","No")))</f>
        <v/>
      </c>
      <c r="Y54" s="15" t="n"/>
      <c r="Z54" s="21" t="n"/>
      <c r="AA54" s="4" t="n"/>
      <c r="AB54" s="4" t="n"/>
      <c r="AC54" s="4" t="n"/>
      <c r="AD54" s="20" t="n"/>
      <c r="AE54" s="20" t="n"/>
      <c r="AF54" s="4" t="n"/>
      <c r="AG54" s="4" t="n"/>
      <c r="AH54" s="11">
        <f>IF(B54="","",IFERROR(INDEX(Periods!$H$5:$H$200,MATCH($B54,Periods!$B$5:$B$200,0)),""))</f>
        <v/>
      </c>
      <c r="AI54" s="11">
        <f>IF(B54="","",IF(COUNTIFS(Periods!$B$5:$B$200,$B54,Periods!$N$5:$N$200,"Handover")&gt;0,"Handover",IF(COUNTIFS(Periods!$B$5:$B$200,$B54,Periods!$N$5:$N$200,"Delivery")&gt;0,"Delivery",Config!$C$42)))</f>
        <v/>
      </c>
      <c r="AJ54" s="11" t="n"/>
      <c r="AK54" s="4" t="n"/>
      <c r="AL54" s="4" t="n"/>
      <c r="AM54" s="4" t="n"/>
      <c r="AN54" s="11" t="n"/>
      <c r="AO54" s="11">
        <f>IF(OR(B54="",N(M54)=0),"No",IF(Config!$C$18="Story Points",IF(AND(F54&lt;&gt;"Excluded",LEN(I54)=0),"Yes","No"),IF(AND(OR(AND(F54&lt;&gt;"Excluded",AM54="No group"),AL54="Yes"),OR(LEN(AD54)=0,AND(Config!$C$19="Dev + QA",N(N54)&gt;0,LEN(AE54)=0))),"Yes","No")))</f>
        <v/>
      </c>
      <c r="AP54" s="4" t="n"/>
    </row>
    <row r="55">
      <c r="A55" s="6">
        <f>IF(B55="","",ROW()-3)</f>
        <v/>
      </c>
      <c r="B55" s="15" t="n"/>
      <c r="C55" s="4" t="n"/>
      <c r="D55" s="4" t="n"/>
      <c r="E55" s="4" t="n"/>
      <c r="F55" s="15" t="n"/>
      <c r="G55" s="15" t="n"/>
      <c r="H55" s="8">
        <f>IF(OR(B55="",AND(AD55="",AE55="")),"",N(AD55)+IF(AND(Config!$C$19="Dev + QA",N55&lt;&gt;""),N(AE55),0))</f>
        <v/>
      </c>
      <c r="I55" s="20" t="n"/>
      <c r="J55" s="4" t="n"/>
      <c r="K55" s="4" t="n"/>
      <c r="L55" s="4" t="n"/>
      <c r="M55" s="15" t="n"/>
      <c r="N55" s="15" t="n"/>
      <c r="O55" s="6">
        <f>IF(B55="","",IF(M55&lt;&gt;"","Done","Open"))</f>
        <v/>
      </c>
      <c r="P55" s="15" t="n"/>
      <c r="Q55" s="4" t="n"/>
      <c r="R55" s="4" t="n"/>
      <c r="S55" s="15" t="n"/>
      <c r="T55" s="15" t="n"/>
      <c r="U55" s="6">
        <f>IF(OR(B55="",F55="Excluded",S55&lt;&gt;"Yes",T55="",AND(AK55="Yes",M55="")),"",IF(N(IF(AI55="Delivery",M55,IF(OR(M55="",N(AH55)=0),"",MAX(M55,AH55))))=0,IF(Config!$C$14&lt;=T55,"Pending","No"),IF(IF(AI55="Delivery",M55,IF(OR(M55="",N(AH55)=0),"",MAX(M55,AH55)))&lt;=T55,"Yes","No")))</f>
        <v/>
      </c>
      <c r="V55" s="15" t="n"/>
      <c r="W55" s="15" t="n"/>
      <c r="X55" s="6">
        <f>IF(OR(B55="",F55="Excluded",V55&lt;&gt;"Yes",W55="",AND(AK55="Yes",M55="")),"",IF(N(IF(Config!$C$24="Handover",IF(OR(M55="",N(AH55)=0),"",MAX(M55,AH55)),M55))=0,IF(Config!$C$14&lt;=W55,"Pending","No"),IF(IF(Config!$C$24="Handover",IF(OR(M55="",N(AH55)=0),"",MAX(M55,AH55)),M55)&lt;=W55,"Yes","No")))</f>
        <v/>
      </c>
      <c r="Y55" s="15" t="n"/>
      <c r="Z55" s="21" t="n"/>
      <c r="AA55" s="4" t="n"/>
      <c r="AB55" s="4" t="n"/>
      <c r="AC55" s="4" t="n"/>
      <c r="AD55" s="20" t="n"/>
      <c r="AE55" s="20" t="n"/>
      <c r="AF55" s="4" t="n"/>
      <c r="AG55" s="4" t="n"/>
      <c r="AH55" s="11">
        <f>IF(B55="","",IFERROR(INDEX(Periods!$H$5:$H$200,MATCH($B55,Periods!$B$5:$B$200,0)),""))</f>
        <v/>
      </c>
      <c r="AI55" s="11">
        <f>IF(B55="","",IF(COUNTIFS(Periods!$B$5:$B$200,$B55,Periods!$N$5:$N$200,"Handover")&gt;0,"Handover",IF(COUNTIFS(Periods!$B$5:$B$200,$B55,Periods!$N$5:$N$200,"Delivery")&gt;0,"Delivery",Config!$C$42)))</f>
        <v/>
      </c>
      <c r="AJ55" s="11" t="n"/>
      <c r="AK55" s="4" t="n"/>
      <c r="AL55" s="4" t="n"/>
      <c r="AM55" s="4" t="n"/>
      <c r="AN55" s="11" t="n"/>
      <c r="AO55" s="11">
        <f>IF(OR(B55="",N(M55)=0),"No",IF(Config!$C$18="Story Points",IF(AND(F55&lt;&gt;"Excluded",LEN(I55)=0),"Yes","No"),IF(AND(OR(AND(F55&lt;&gt;"Excluded",AM55="No group"),AL55="Yes"),OR(LEN(AD55)=0,AND(Config!$C$19="Dev + QA",N(N55)&gt;0,LEN(AE55)=0))),"Yes","No")))</f>
        <v/>
      </c>
      <c r="AP55" s="4" t="n"/>
    </row>
    <row r="56">
      <c r="A56" s="6">
        <f>IF(B56="","",ROW()-3)</f>
        <v/>
      </c>
      <c r="B56" s="15" t="n"/>
      <c r="C56" s="4" t="n"/>
      <c r="D56" s="4" t="n"/>
      <c r="E56" s="4" t="n"/>
      <c r="F56" s="15" t="n"/>
      <c r="G56" s="15" t="n"/>
      <c r="H56" s="8">
        <f>IF(OR(B56="",AND(AD56="",AE56="")),"",N(AD56)+IF(AND(Config!$C$19="Dev + QA",N56&lt;&gt;""),N(AE56),0))</f>
        <v/>
      </c>
      <c r="I56" s="20" t="n"/>
      <c r="J56" s="4" t="n"/>
      <c r="K56" s="4" t="n"/>
      <c r="L56" s="4" t="n"/>
      <c r="M56" s="15" t="n"/>
      <c r="N56" s="15" t="n"/>
      <c r="O56" s="6">
        <f>IF(B56="","",IF(M56&lt;&gt;"","Done","Open"))</f>
        <v/>
      </c>
      <c r="P56" s="15" t="n"/>
      <c r="Q56" s="4" t="n"/>
      <c r="R56" s="4" t="n"/>
      <c r="S56" s="15" t="n"/>
      <c r="T56" s="15" t="n"/>
      <c r="U56" s="6">
        <f>IF(OR(B56="",F56="Excluded",S56&lt;&gt;"Yes",T56="",AND(AK56="Yes",M56="")),"",IF(N(IF(AI56="Delivery",M56,IF(OR(M56="",N(AH56)=0),"",MAX(M56,AH56))))=0,IF(Config!$C$14&lt;=T56,"Pending","No"),IF(IF(AI56="Delivery",M56,IF(OR(M56="",N(AH56)=0),"",MAX(M56,AH56)))&lt;=T56,"Yes","No")))</f>
        <v/>
      </c>
      <c r="V56" s="15" t="n"/>
      <c r="W56" s="15" t="n"/>
      <c r="X56" s="6">
        <f>IF(OR(B56="",F56="Excluded",V56&lt;&gt;"Yes",W56="",AND(AK56="Yes",M56="")),"",IF(N(IF(Config!$C$24="Handover",IF(OR(M56="",N(AH56)=0),"",MAX(M56,AH56)),M56))=0,IF(Config!$C$14&lt;=W56,"Pending","No"),IF(IF(Config!$C$24="Handover",IF(OR(M56="",N(AH56)=0),"",MAX(M56,AH56)),M56)&lt;=W56,"Yes","No")))</f>
        <v/>
      </c>
      <c r="Y56" s="15" t="n"/>
      <c r="Z56" s="21" t="n"/>
      <c r="AA56" s="4" t="n"/>
      <c r="AB56" s="4" t="n"/>
      <c r="AC56" s="4" t="n"/>
      <c r="AD56" s="20" t="n"/>
      <c r="AE56" s="20" t="n"/>
      <c r="AF56" s="4" t="n"/>
      <c r="AG56" s="4" t="n"/>
      <c r="AH56" s="11">
        <f>IF(B56="","",IFERROR(INDEX(Periods!$H$5:$H$200,MATCH($B56,Periods!$B$5:$B$200,0)),""))</f>
        <v/>
      </c>
      <c r="AI56" s="11">
        <f>IF(B56="","",IF(COUNTIFS(Periods!$B$5:$B$200,$B56,Periods!$N$5:$N$200,"Handover")&gt;0,"Handover",IF(COUNTIFS(Periods!$B$5:$B$200,$B56,Periods!$N$5:$N$200,"Delivery")&gt;0,"Delivery",Config!$C$42)))</f>
        <v/>
      </c>
      <c r="AJ56" s="11" t="n"/>
      <c r="AK56" s="4" t="n"/>
      <c r="AL56" s="4" t="n"/>
      <c r="AM56" s="4" t="n"/>
      <c r="AN56" s="11" t="n"/>
      <c r="AO56" s="11">
        <f>IF(OR(B56="",N(M56)=0),"No",IF(Config!$C$18="Story Points",IF(AND(F56&lt;&gt;"Excluded",LEN(I56)=0),"Yes","No"),IF(AND(OR(AND(F56&lt;&gt;"Excluded",AM56="No group"),AL56="Yes"),OR(LEN(AD56)=0,AND(Config!$C$19="Dev + QA",N(N56)&gt;0,LEN(AE56)=0))),"Yes","No")))</f>
        <v/>
      </c>
      <c r="AP56" s="4" t="n"/>
    </row>
    <row r="57">
      <c r="A57" s="6">
        <f>IF(B57="","",ROW()-3)</f>
        <v/>
      </c>
      <c r="B57" s="15" t="n"/>
      <c r="C57" s="4" t="n"/>
      <c r="D57" s="4" t="n"/>
      <c r="E57" s="4" t="n"/>
      <c r="F57" s="15" t="n"/>
      <c r="G57" s="15" t="n"/>
      <c r="H57" s="8">
        <f>IF(OR(B57="",AND(AD57="",AE57="")),"",N(AD57)+IF(AND(Config!$C$19="Dev + QA",N57&lt;&gt;""),N(AE57),0))</f>
        <v/>
      </c>
      <c r="I57" s="20" t="n"/>
      <c r="J57" s="4" t="n"/>
      <c r="K57" s="4" t="n"/>
      <c r="L57" s="4" t="n"/>
      <c r="M57" s="15" t="n"/>
      <c r="N57" s="15" t="n"/>
      <c r="O57" s="6">
        <f>IF(B57="","",IF(M57&lt;&gt;"","Done","Open"))</f>
        <v/>
      </c>
      <c r="P57" s="15" t="n"/>
      <c r="Q57" s="4" t="n"/>
      <c r="R57" s="4" t="n"/>
      <c r="S57" s="15" t="n"/>
      <c r="T57" s="15" t="n"/>
      <c r="U57" s="6">
        <f>IF(OR(B57="",F57="Excluded",S57&lt;&gt;"Yes",T57="",AND(AK57="Yes",M57="")),"",IF(N(IF(AI57="Delivery",M57,IF(OR(M57="",N(AH57)=0),"",MAX(M57,AH57))))=0,IF(Config!$C$14&lt;=T57,"Pending","No"),IF(IF(AI57="Delivery",M57,IF(OR(M57="",N(AH57)=0),"",MAX(M57,AH57)))&lt;=T57,"Yes","No")))</f>
        <v/>
      </c>
      <c r="V57" s="15" t="n"/>
      <c r="W57" s="15" t="n"/>
      <c r="X57" s="6">
        <f>IF(OR(B57="",F57="Excluded",V57&lt;&gt;"Yes",W57="",AND(AK57="Yes",M57="")),"",IF(N(IF(Config!$C$24="Handover",IF(OR(M57="",N(AH57)=0),"",MAX(M57,AH57)),M57))=0,IF(Config!$C$14&lt;=W57,"Pending","No"),IF(IF(Config!$C$24="Handover",IF(OR(M57="",N(AH57)=0),"",MAX(M57,AH57)),M57)&lt;=W57,"Yes","No")))</f>
        <v/>
      </c>
      <c r="Y57" s="15" t="n"/>
      <c r="Z57" s="21" t="n"/>
      <c r="AA57" s="4" t="n"/>
      <c r="AB57" s="4" t="n"/>
      <c r="AC57" s="4" t="n"/>
      <c r="AD57" s="20" t="n"/>
      <c r="AE57" s="20" t="n"/>
      <c r="AF57" s="4" t="n"/>
      <c r="AG57" s="4" t="n"/>
      <c r="AH57" s="11">
        <f>IF(B57="","",IFERROR(INDEX(Periods!$H$5:$H$200,MATCH($B57,Periods!$B$5:$B$200,0)),""))</f>
        <v/>
      </c>
      <c r="AI57" s="11">
        <f>IF(B57="","",IF(COUNTIFS(Periods!$B$5:$B$200,$B57,Periods!$N$5:$N$200,"Handover")&gt;0,"Handover",IF(COUNTIFS(Periods!$B$5:$B$200,$B57,Periods!$N$5:$N$200,"Delivery")&gt;0,"Delivery",Config!$C$42)))</f>
        <v/>
      </c>
      <c r="AJ57" s="11" t="n"/>
      <c r="AK57" s="4" t="n"/>
      <c r="AL57" s="4" t="n"/>
      <c r="AM57" s="4" t="n"/>
      <c r="AN57" s="11" t="n"/>
      <c r="AO57" s="11">
        <f>IF(OR(B57="",N(M57)=0),"No",IF(Config!$C$18="Story Points",IF(AND(F57&lt;&gt;"Excluded",LEN(I57)=0),"Yes","No"),IF(AND(OR(AND(F57&lt;&gt;"Excluded",AM57="No group"),AL57="Yes"),OR(LEN(AD57)=0,AND(Config!$C$19="Dev + QA",N(N57)&gt;0,LEN(AE57)=0))),"Yes","No")))</f>
        <v/>
      </c>
      <c r="AP57" s="4" t="n"/>
    </row>
    <row r="58">
      <c r="A58" s="6">
        <f>IF(B58="","",ROW()-3)</f>
        <v/>
      </c>
      <c r="B58" s="15" t="n"/>
      <c r="C58" s="4" t="n"/>
      <c r="D58" s="4" t="n"/>
      <c r="E58" s="4" t="n"/>
      <c r="F58" s="15" t="n"/>
      <c r="G58" s="15" t="n"/>
      <c r="H58" s="8">
        <f>IF(OR(B58="",AND(AD58="",AE58="")),"",N(AD58)+IF(AND(Config!$C$19="Dev + QA",N58&lt;&gt;""),N(AE58),0))</f>
        <v/>
      </c>
      <c r="I58" s="20" t="n"/>
      <c r="J58" s="4" t="n"/>
      <c r="K58" s="4" t="n"/>
      <c r="L58" s="4" t="n"/>
      <c r="M58" s="15" t="n"/>
      <c r="N58" s="15" t="n"/>
      <c r="O58" s="6">
        <f>IF(B58="","",IF(M58&lt;&gt;"","Done","Open"))</f>
        <v/>
      </c>
      <c r="P58" s="15" t="n"/>
      <c r="Q58" s="4" t="n"/>
      <c r="R58" s="4" t="n"/>
      <c r="S58" s="15" t="n"/>
      <c r="T58" s="15" t="n"/>
      <c r="U58" s="6">
        <f>IF(OR(B58="",F58="Excluded",S58&lt;&gt;"Yes",T58="",AND(AK58="Yes",M58="")),"",IF(N(IF(AI58="Delivery",M58,IF(OR(M58="",N(AH58)=0),"",MAX(M58,AH58))))=0,IF(Config!$C$14&lt;=T58,"Pending","No"),IF(IF(AI58="Delivery",M58,IF(OR(M58="",N(AH58)=0),"",MAX(M58,AH58)))&lt;=T58,"Yes","No")))</f>
        <v/>
      </c>
      <c r="V58" s="15" t="n"/>
      <c r="W58" s="15" t="n"/>
      <c r="X58" s="6">
        <f>IF(OR(B58="",F58="Excluded",V58&lt;&gt;"Yes",W58="",AND(AK58="Yes",M58="")),"",IF(N(IF(Config!$C$24="Handover",IF(OR(M58="",N(AH58)=0),"",MAX(M58,AH58)),M58))=0,IF(Config!$C$14&lt;=W58,"Pending","No"),IF(IF(Config!$C$24="Handover",IF(OR(M58="",N(AH58)=0),"",MAX(M58,AH58)),M58)&lt;=W58,"Yes","No")))</f>
        <v/>
      </c>
      <c r="Y58" s="15" t="n"/>
      <c r="Z58" s="21" t="n"/>
      <c r="AA58" s="4" t="n"/>
      <c r="AB58" s="4" t="n"/>
      <c r="AC58" s="4" t="n"/>
      <c r="AD58" s="20" t="n"/>
      <c r="AE58" s="20" t="n"/>
      <c r="AF58" s="4" t="n"/>
      <c r="AG58" s="4" t="n"/>
      <c r="AH58" s="11">
        <f>IF(B58="","",IFERROR(INDEX(Periods!$H$5:$H$200,MATCH($B58,Periods!$B$5:$B$200,0)),""))</f>
        <v/>
      </c>
      <c r="AI58" s="11">
        <f>IF(B58="","",IF(COUNTIFS(Periods!$B$5:$B$200,$B58,Periods!$N$5:$N$200,"Handover")&gt;0,"Handover",IF(COUNTIFS(Periods!$B$5:$B$200,$B58,Periods!$N$5:$N$200,"Delivery")&gt;0,"Delivery",Config!$C$42)))</f>
        <v/>
      </c>
      <c r="AJ58" s="11" t="n"/>
      <c r="AK58" s="4" t="n"/>
      <c r="AL58" s="4" t="n"/>
      <c r="AM58" s="4" t="n"/>
      <c r="AN58" s="11" t="n"/>
      <c r="AO58" s="11">
        <f>IF(OR(B58="",N(M58)=0),"No",IF(Config!$C$18="Story Points",IF(AND(F58&lt;&gt;"Excluded",LEN(I58)=0),"Yes","No"),IF(AND(OR(AND(F58&lt;&gt;"Excluded",AM58="No group"),AL58="Yes"),OR(LEN(AD58)=0,AND(Config!$C$19="Dev + QA",N(N58)&gt;0,LEN(AE58)=0))),"Yes","No")))</f>
        <v/>
      </c>
      <c r="AP58" s="4" t="n"/>
    </row>
  </sheetData>
  <conditionalFormatting sqref="A4:AP58">
    <cfRule type="expression" priority="1" dxfId="1" stopIfTrue="0">
      <formula>$F4="Excluded"</formula>
    </cfRule>
  </conditionalFormatting>
  <conditionalFormatting sqref="P4:P58">
    <cfRule type="expression" priority="2" dxfId="2" stopIfTrue="0">
      <formula>P4="No"</formula>
    </cfRule>
  </conditionalFormatting>
  <conditionalFormatting sqref="U4:U58">
    <cfRule type="expression" priority="3" dxfId="2" stopIfTrue="0">
      <formula>U4="No"</formula>
    </cfRule>
  </conditionalFormatting>
  <conditionalFormatting sqref="X4:X58">
    <cfRule type="expression" priority="4" dxfId="2" stopIfTrue="0">
      <formula>X4="No"</formula>
    </cfRule>
  </conditionalFormatting>
  <conditionalFormatting sqref="Y4:Y58">
    <cfRule type="expression" priority="5" dxfId="2" stopIfTrue="0">
      <formula>Y4="Yes"</formula>
    </cfRule>
  </conditionalFormatting>
  <conditionalFormatting sqref="AG4:AG58">
    <cfRule type="expression" priority="6" dxfId="3" stopIfTrue="0">
      <formula>AG4&lt;&gt;""</formula>
    </cfRule>
  </conditionalFormatting>
  <dataValidations count="7">
    <dataValidation sqref="F4:F58" showDropDown="0" showInputMessage="0" showErrorMessage="0" allowBlank="1" type="list">
      <formula1>"Task,CR,Scope,Excluded"</formula1>
    </dataValidation>
    <dataValidation sqref="G4:G58" showDropDown="0" showInputMessage="0" showErrorMessage="0" allowBlank="1" type="list">
      <formula1>"Yes,No"</formula1>
    </dataValidation>
    <dataValidation sqref="P4:P58" showDropDown="0" showInputMessage="0" showErrorMessage="0" allowBlank="1" type="list">
      <formula1>"Yes,No"</formula1>
    </dataValidation>
    <dataValidation sqref="S4:S58" showDropDown="0" showInputMessage="0" showErrorMessage="0" allowBlank="1" type="list">
      <formula1>"Yes,No"</formula1>
    </dataValidation>
    <dataValidation sqref="V4:V58" showDropDown="0" showInputMessage="0" showErrorMessage="0" allowBlank="1" type="list">
      <formula1>"Yes,No"</formula1>
    </dataValidation>
    <dataValidation sqref="Y4:Y58" showDropDown="0" showInputMessage="0" showErrorMessage="0" allowBlank="1" type="list">
      <formula1>"Yes,No"</formula1>
    </dataValidation>
    <dataValidation sqref="B4:B58" showDropDown="0" showInputMessage="0" showErrorMessage="0" allowBlank="1" type="list">
      <formula1>=Periods!$B$5:$B$200</formula1>
    </dataValidation>
  </dataValidations>
  <hyperlinks>
    <hyperlink xmlns:r="http://schemas.openxmlformats.org/officeDocument/2006/relationships" ref="D4" r:id="rId1"/>
    <hyperlink xmlns:r="http://schemas.openxmlformats.org/officeDocument/2006/relationships" ref="R4" r:id="rId2"/>
    <hyperlink xmlns:r="http://schemas.openxmlformats.org/officeDocument/2006/relationships" ref="D5" r:id="rId3"/>
    <hyperlink xmlns:r="http://schemas.openxmlformats.org/officeDocument/2006/relationships" ref="D6" r:id="rId4"/>
    <hyperlink xmlns:r="http://schemas.openxmlformats.org/officeDocument/2006/relationships" ref="D7" r:id="rId5"/>
    <hyperlink xmlns:r="http://schemas.openxmlformats.org/officeDocument/2006/relationships" ref="AB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s>
  <pageMargins left="0.75" right="0.75" top="1" bottom="1" header="0.5" footer="0.5"/>
</worksheet>
</file>

<file path=xl/worksheets/sheet6.xml><?xml version="1.0" encoding="utf-8"?>
<worksheet xmlns="http://schemas.openxmlformats.org/spreadsheetml/2006/main">
  <sheetPr>
    <tabColor rgb="001F3864"/>
    <outlinePr summaryBelow="1" summaryRight="1"/>
    <pageSetUpPr/>
  </sheetPr>
  <dimension ref="A1:R54"/>
  <sheetViews>
    <sheetView showGridLines="0" workbookViewId="0">
      <pane xSplit="5" ySplit="3" topLeftCell="F4" activePane="bottomRight" state="frozen"/>
      <selection pane="topRight"/>
      <selection pane="bottomLeft"/>
      <selection pane="bottomRight" activeCell="A1" sqref="A1"/>
    </sheetView>
  </sheetViews>
  <sheetFormatPr baseColWidth="8" defaultRowHeight="15"/>
  <cols>
    <col width="4" customWidth="1" min="1" max="1"/>
    <col width="14" customWidth="1" min="2" max="2"/>
    <col width="11" customWidth="1" min="3" max="3"/>
    <col width="8" customWidth="1" min="4" max="4"/>
    <col width="52" customWidth="1" min="5" max="5"/>
    <col width="11" customWidth="1" min="6" max="6"/>
    <col width="20" customWidth="1" min="7" max="7"/>
    <col width="11" customWidth="1" min="8" max="8"/>
    <col width="12" customWidth="1" min="9" max="9"/>
    <col width="10" customWidth="1" min="10" max="10"/>
    <col width="9" customWidth="1" min="11" max="11"/>
    <col width="30" customWidth="1" min="12" max="12"/>
    <col width="9" customWidth="1" min="13" max="13"/>
    <col width="18" customWidth="1" min="14" max="14"/>
    <col width="11" customWidth="1" min="15" max="15"/>
    <col width="40" customWidth="1" min="16" max="16"/>
    <col width="40" customWidth="1" min="17" max="17"/>
    <col hidden="1" width="10" customWidth="1" min="18" max="18"/>
  </cols>
  <sheetData>
    <row r="1">
      <c r="B1" s="1" t="inlineStr">
        <is>
          <t>Defect Register (11 rows)</t>
        </is>
      </c>
    </row>
    <row r="2">
      <c r="B2" s="2" t="inlineStr">
        <is>
          <t>Every bug, observation or improvement reported by QA or the client, including rejected ones.</t>
        </is>
      </c>
    </row>
    <row r="3" ht="46.5" customHeight="1">
      <c r="A3" s="5" t="inlineStr">
        <is>
          <t>#</t>
        </is>
      </c>
      <c r="B3" s="5" t="inlineStr">
        <is>
          <t>Period</t>
        </is>
      </c>
      <c r="C3" s="5" t="inlineStr">
        <is>
          <t>Ticket</t>
        </is>
      </c>
      <c r="D3" s="5" t="inlineStr">
        <is>
          <t>Link</t>
        </is>
      </c>
      <c r="E3" s="5" t="inlineStr">
        <is>
          <t>Title</t>
        </is>
      </c>
      <c r="F3" s="5" t="inlineStr">
        <is>
          <t>Kind</t>
        </is>
      </c>
      <c r="G3" s="5" t="inlineStr">
        <is>
          <t>Reported By</t>
        </is>
      </c>
      <c r="H3" s="5" t="inlineStr">
        <is>
          <t>Reported On</t>
        </is>
      </c>
      <c r="I3" s="5" t="inlineStr">
        <is>
          <t>Phase</t>
        </is>
      </c>
      <c r="J3" s="5" t="inlineStr">
        <is>
          <t>Pre-existing?</t>
        </is>
      </c>
      <c r="K3" s="5" t="inlineStr">
        <is>
          <t>Rejected?</t>
        </is>
      </c>
      <c r="L3" s="5" t="inlineStr">
        <is>
          <t>Rejection Reason</t>
        </is>
      </c>
      <c r="M3" s="5" t="inlineStr">
        <is>
          <t>Evidence</t>
        </is>
      </c>
      <c r="N3" s="5" t="inlineStr">
        <is>
          <t>Final Status</t>
        </is>
      </c>
      <c r="O3" s="5" t="inlineStr">
        <is>
          <t>Counts in Defect Rate?</t>
        </is>
      </c>
      <c r="P3" s="5" t="inlineStr">
        <is>
          <t>Remarks and sources</t>
        </is>
      </c>
      <c r="Q3" s="5" t="inlineStr">
        <is>
          <t>Check (how this row was decided)</t>
        </is>
      </c>
      <c r="R3" s="5" t="inlineStr">
        <is>
          <t>Row ID</t>
        </is>
      </c>
    </row>
    <row r="4">
      <c r="A4" s="6">
        <f>IF(B4="","",ROW()-3)</f>
        <v/>
      </c>
      <c r="B4" s="15" t="inlineStr">
        <is>
          <t>Initial Scope</t>
        </is>
      </c>
      <c r="C4" s="4" t="inlineStr">
        <is>
          <t>Bug 01</t>
        </is>
      </c>
      <c r="D4" s="13" t="inlineStr">
        <is>
          <t>Open</t>
        </is>
      </c>
      <c r="E4" s="4" t="inlineStr">
        <is>
          <t>[Web] Bug 01: Warning shown for recurring bookings</t>
        </is>
      </c>
      <c r="F4" s="15" t="inlineStr">
        <is>
          <t>Bug</t>
        </is>
      </c>
      <c r="G4" s="4" t="inlineStr">
        <is>
          <t>Sample QA</t>
        </is>
      </c>
      <c r="H4" s="14" t="n">
        <v>46221</v>
      </c>
      <c r="I4" s="15" t="inlineStr">
        <is>
          <t>Pre-release</t>
        </is>
      </c>
      <c r="J4" s="15" t="inlineStr">
        <is>
          <t>No</t>
        </is>
      </c>
      <c r="K4" s="15" t="inlineStr">
        <is>
          <t>No</t>
        </is>
      </c>
      <c r="L4" s="15" t="n"/>
      <c r="M4" s="13" t="inlineStr">
        <is>
          <t>Open</t>
        </is>
      </c>
      <c r="N4" s="15" t="inlineStr">
        <is>
          <t>Fixed / Closed</t>
        </is>
      </c>
      <c r="O4" s="6">
        <f>IF(B4="","",IF(AND(K4&lt;&gt;"Yes",OR(F4="Bug",AND(F4="Observation",Config!$C$20="Yes"),AND(F4="Improvement",Config!$C$21="Yes")),OR(J4&lt;&gt;"Yes",Config!$C$22="Yes"),OR(I4&lt;&gt;"Post-release",Config!$C$23="Yes")),"Yes","No"))</f>
        <v/>
      </c>
      <c r="P4" s="4" t="n"/>
      <c r="Q4" s="4" t="n"/>
      <c r="R4" s="11" t="inlineStr">
        <is>
          <t>1200000000000020</t>
        </is>
      </c>
    </row>
    <row r="5">
      <c r="A5" s="6">
        <f>IF(B5="","",ROW()-3)</f>
        <v/>
      </c>
      <c r="B5" s="15" t="inlineStr">
        <is>
          <t>Initial Scope</t>
        </is>
      </c>
      <c r="C5" s="4" t="inlineStr">
        <is>
          <t>Bug 02</t>
        </is>
      </c>
      <c r="D5" s="13" t="inlineStr">
        <is>
          <t>Open</t>
        </is>
      </c>
      <c r="E5" s="4" t="inlineStr">
        <is>
          <t>[Tablet] Bug 02: Filter lost when the language changes</t>
        </is>
      </c>
      <c r="F5" s="15" t="inlineStr">
        <is>
          <t>Bug</t>
        </is>
      </c>
      <c r="G5" s="4" t="inlineStr">
        <is>
          <t>Sample QA</t>
        </is>
      </c>
      <c r="H5" s="14" t="n">
        <v>46222</v>
      </c>
      <c r="I5" s="15" t="inlineStr">
        <is>
          <t>Pre-release</t>
        </is>
      </c>
      <c r="J5" s="15" t="inlineStr">
        <is>
          <t>No</t>
        </is>
      </c>
      <c r="K5" s="15" t="inlineStr">
        <is>
          <t>No</t>
        </is>
      </c>
      <c r="L5" s="15" t="n"/>
      <c r="M5" s="13" t="inlineStr">
        <is>
          <t>Open</t>
        </is>
      </c>
      <c r="N5" s="15" t="inlineStr">
        <is>
          <t>Fixed / Closed</t>
        </is>
      </c>
      <c r="O5" s="6">
        <f>IF(B5="","",IF(AND(K5&lt;&gt;"Yes",OR(F5="Bug",AND(F5="Observation",Config!$C$20="Yes"),AND(F5="Improvement",Config!$C$21="Yes")),OR(J5&lt;&gt;"Yes",Config!$C$22="Yes"),OR(I5&lt;&gt;"Post-release",Config!$C$23="Yes")),"Yes","No"))</f>
        <v/>
      </c>
      <c r="P5" s="4" t="n"/>
      <c r="Q5" s="4" t="n"/>
      <c r="R5" s="11" t="inlineStr">
        <is>
          <t>1200000000000021</t>
        </is>
      </c>
    </row>
    <row r="6">
      <c r="A6" s="6">
        <f>IF(B6="","",ROW()-3)</f>
        <v/>
      </c>
      <c r="B6" s="15" t="inlineStr">
        <is>
          <t>Initial Scope</t>
        </is>
      </c>
      <c r="C6" s="4" t="inlineStr">
        <is>
          <t>Bug 03</t>
        </is>
      </c>
      <c r="D6" s="13" t="inlineStr">
        <is>
          <t>Open</t>
        </is>
      </c>
      <c r="E6" s="4" t="inlineStr">
        <is>
          <t>[Web][Existing] Bug 03: Long room names overlap the next column</t>
        </is>
      </c>
      <c r="F6" s="15" t="inlineStr">
        <is>
          <t>Bug</t>
        </is>
      </c>
      <c r="G6" s="4" t="inlineStr">
        <is>
          <t>Sample QA</t>
        </is>
      </c>
      <c r="H6" s="14" t="n">
        <v>46222</v>
      </c>
      <c r="I6" s="15" t="inlineStr">
        <is>
          <t>Pre-release</t>
        </is>
      </c>
      <c r="J6" s="15" t="inlineStr">
        <is>
          <t>Yes</t>
        </is>
      </c>
      <c r="K6" s="15" t="inlineStr">
        <is>
          <t>No</t>
        </is>
      </c>
      <c r="L6" s="15" t="n"/>
      <c r="M6" s="13" t="inlineStr">
        <is>
          <t>Open</t>
        </is>
      </c>
      <c r="N6" s="15" t="inlineStr">
        <is>
          <t>Fixed / Closed</t>
        </is>
      </c>
      <c r="O6" s="6">
        <f>IF(B6="","",IF(AND(K6&lt;&gt;"Yes",OR(F6="Bug",AND(F6="Observation",Config!$C$20="Yes"),AND(F6="Improvement",Config!$C$21="Yes")),OR(J6&lt;&gt;"Yes",Config!$C$22="Yes"),OR(I6&lt;&gt;"Post-release",Config!$C$23="Yes")),"Yes","No"))</f>
        <v/>
      </c>
      <c r="P6" s="4" t="n"/>
      <c r="Q6" s="4" t="n"/>
      <c r="R6" s="11" t="inlineStr">
        <is>
          <t>1200000000000022</t>
        </is>
      </c>
    </row>
    <row r="7">
      <c r="A7" s="6">
        <f>IF(B7="","",ROW()-3)</f>
        <v/>
      </c>
      <c r="B7" s="15" t="inlineStr">
        <is>
          <t>Initial Scope</t>
        </is>
      </c>
      <c r="C7" s="4" t="inlineStr">
        <is>
          <t>Bug 04</t>
        </is>
      </c>
      <c r="D7" s="13" t="inlineStr">
        <is>
          <t>Open</t>
        </is>
      </c>
      <c r="E7" s="4" t="inlineStr">
        <is>
          <t>[Tablet][Exisiting] Bug 04: Button labels cropped on small screens</t>
        </is>
      </c>
      <c r="F7" s="15" t="inlineStr">
        <is>
          <t>Bug</t>
        </is>
      </c>
      <c r="G7" s="4" t="inlineStr">
        <is>
          <t>Sample QA</t>
        </is>
      </c>
      <c r="H7" s="14" t="n">
        <v>46224</v>
      </c>
      <c r="I7" s="15" t="inlineStr">
        <is>
          <t>Pre-release</t>
        </is>
      </c>
      <c r="J7" s="15" t="inlineStr">
        <is>
          <t>Yes</t>
        </is>
      </c>
      <c r="K7" s="15" t="inlineStr">
        <is>
          <t>No</t>
        </is>
      </c>
      <c r="L7" s="15" t="n"/>
      <c r="M7" s="13" t="inlineStr">
        <is>
          <t>Open</t>
        </is>
      </c>
      <c r="N7" s="15" t="inlineStr">
        <is>
          <t>Fixed / Closed</t>
        </is>
      </c>
      <c r="O7" s="6">
        <f>IF(B7="","",IF(AND(K7&lt;&gt;"Yes",OR(F7="Bug",AND(F7="Observation",Config!$C$20="Yes"),AND(F7="Improvement",Config!$C$21="Yes")),OR(J7&lt;&gt;"Yes",Config!$C$22="Yes"),OR(I7&lt;&gt;"Post-release",Config!$C$23="Yes")),"Yes","No"))</f>
        <v/>
      </c>
      <c r="P7" s="4" t="n"/>
      <c r="Q7" s="4" t="inlineStr">
        <is>
          <t>read [Exisiting] as Existing</t>
        </is>
      </c>
      <c r="R7" s="11" t="inlineStr">
        <is>
          <t>1200000000000023</t>
        </is>
      </c>
    </row>
    <row r="8">
      <c r="A8" s="6">
        <f>IF(B8="","",ROW()-3)</f>
        <v/>
      </c>
      <c r="B8" s="15" t="inlineStr">
        <is>
          <t>Initial Scope</t>
        </is>
      </c>
      <c r="C8" s="4" t="inlineStr">
        <is>
          <t>Observation 05</t>
        </is>
      </c>
      <c r="D8" s="13" t="inlineStr">
        <is>
          <t>Open</t>
        </is>
      </c>
      <c r="E8" s="4" t="inlineStr">
        <is>
          <t>[Web] Observation 05: Email subject could name the building</t>
        </is>
      </c>
      <c r="F8" s="15" t="inlineStr">
        <is>
          <t>Observation</t>
        </is>
      </c>
      <c r="G8" s="4" t="inlineStr">
        <is>
          <t>Sample QA</t>
        </is>
      </c>
      <c r="H8" s="14" t="n">
        <v>46224</v>
      </c>
      <c r="I8" s="15" t="inlineStr">
        <is>
          <t>Pre-release</t>
        </is>
      </c>
      <c r="J8" s="15" t="inlineStr">
        <is>
          <t>No</t>
        </is>
      </c>
      <c r="K8" s="15" t="inlineStr">
        <is>
          <t>No</t>
        </is>
      </c>
      <c r="L8" s="15" t="n"/>
      <c r="M8" s="13" t="inlineStr">
        <is>
          <t>Open</t>
        </is>
      </c>
      <c r="N8" s="15" t="inlineStr">
        <is>
          <t>Fixed / Closed</t>
        </is>
      </c>
      <c r="O8" s="6">
        <f>IF(B8="","",IF(AND(K8&lt;&gt;"Yes",OR(F8="Bug",AND(F8="Observation",Config!$C$20="Yes"),AND(F8="Improvement",Config!$C$21="Yes")),OR(J8&lt;&gt;"Yes",Config!$C$22="Yes"),OR(I8&lt;&gt;"Post-release",Config!$C$23="Yes")),"Yes","No"))</f>
        <v/>
      </c>
      <c r="P8" s="4" t="n"/>
      <c r="Q8" s="4" t="n"/>
      <c r="R8" s="11" t="inlineStr">
        <is>
          <t>1200000000000024</t>
        </is>
      </c>
    </row>
    <row r="9">
      <c r="A9" s="6">
        <f>IF(B9="","",ROW()-3)</f>
        <v/>
      </c>
      <c r="B9" s="15" t="inlineStr">
        <is>
          <t>Initial Scope</t>
        </is>
      </c>
      <c r="C9" s="4" t="inlineStr">
        <is>
          <t>Bug 06</t>
        </is>
      </c>
      <c r="D9" s="13" t="inlineStr">
        <is>
          <t>Open</t>
        </is>
      </c>
      <c r="E9" s="4" t="inlineStr">
        <is>
          <t>[Web] Bug 06: Confirmation email sent twice</t>
        </is>
      </c>
      <c r="F9" s="15" t="inlineStr">
        <is>
          <t>Bug</t>
        </is>
      </c>
      <c r="G9" s="4" t="inlineStr">
        <is>
          <t>Sample QA</t>
        </is>
      </c>
      <c r="H9" s="14" t="n">
        <v>46225</v>
      </c>
      <c r="I9" s="15" t="inlineStr">
        <is>
          <t>Pre-release</t>
        </is>
      </c>
      <c r="J9" s="15" t="inlineStr">
        <is>
          <t>No</t>
        </is>
      </c>
      <c r="K9" s="15" t="inlineStr">
        <is>
          <t>Yes</t>
        </is>
      </c>
      <c r="L9" s="15" t="inlineStr">
        <is>
          <t>Rejected</t>
        </is>
      </c>
      <c r="M9" s="13" t="inlineStr">
        <is>
          <t>Open</t>
        </is>
      </c>
      <c r="N9" s="15" t="inlineStr">
        <is>
          <t>Rejected</t>
        </is>
      </c>
      <c r="O9" s="6">
        <f>IF(B9="","",IF(AND(K9&lt;&gt;"Yes",OR(F9="Bug",AND(F9="Observation",Config!$C$20="Yes"),AND(F9="Improvement",Config!$C$21="Yes")),OR(J9&lt;&gt;"Yes",Config!$C$22="Yes"),OR(I9&lt;&gt;"Post-release",Config!$C$23="Yes")),"Yes","No"))</f>
        <v/>
      </c>
      <c r="P9" s="4" t="n"/>
      <c r="Q9" s="4" t="n"/>
      <c r="R9" s="11" t="inlineStr">
        <is>
          <t>1200000000000025</t>
        </is>
      </c>
    </row>
    <row r="10">
      <c r="A10" s="6">
        <f>IF(B10="","",ROW()-3)</f>
        <v/>
      </c>
      <c r="B10" s="15" t="inlineStr">
        <is>
          <t>Initial Scope</t>
        </is>
      </c>
      <c r="C10" s="4" t="inlineStr">
        <is>
          <t>Improvement 07</t>
        </is>
      </c>
      <c r="D10" s="13" t="inlineStr">
        <is>
          <t>Open</t>
        </is>
      </c>
      <c r="E10" s="4" t="inlineStr">
        <is>
          <t>[Tablet] Improvement 07: Larger confirm button</t>
        </is>
      </c>
      <c r="F10" s="15" t="inlineStr">
        <is>
          <t>Improvement</t>
        </is>
      </c>
      <c r="G10" s="4" t="inlineStr">
        <is>
          <t>Sample QA</t>
        </is>
      </c>
      <c r="H10" s="14" t="n">
        <v>46227</v>
      </c>
      <c r="I10" s="15" t="inlineStr">
        <is>
          <t>Pre-release</t>
        </is>
      </c>
      <c r="J10" s="15" t="inlineStr">
        <is>
          <t>No</t>
        </is>
      </c>
      <c r="K10" s="15" t="inlineStr">
        <is>
          <t>No</t>
        </is>
      </c>
      <c r="L10" s="15" t="n"/>
      <c r="M10" s="13" t="inlineStr">
        <is>
          <t>Open</t>
        </is>
      </c>
      <c r="N10" s="15" t="inlineStr">
        <is>
          <t>Open</t>
        </is>
      </c>
      <c r="O10" s="6">
        <f>IF(B10="","",IF(AND(K10&lt;&gt;"Yes",OR(F10="Bug",AND(F10="Observation",Config!$C$20="Yes"),AND(F10="Improvement",Config!$C$21="Yes")),OR(J10&lt;&gt;"Yes",Config!$C$22="Yes"),OR(I10&lt;&gt;"Post-release",Config!$C$23="Yes")),"Yes","No"))</f>
        <v/>
      </c>
      <c r="P10" s="4" t="n"/>
      <c r="Q10" s="4" t="n"/>
      <c r="R10" s="11" t="inlineStr">
        <is>
          <t>1200000000000026</t>
        </is>
      </c>
    </row>
    <row r="11">
      <c r="A11" s="6">
        <f>IF(B11="","",ROW()-3)</f>
        <v/>
      </c>
      <c r="B11" s="15" t="inlineStr">
        <is>
          <t>Initial Scope</t>
        </is>
      </c>
      <c r="C11" s="4" t="inlineStr">
        <is>
          <t>Bug 08</t>
        </is>
      </c>
      <c r="D11" s="13" t="inlineStr">
        <is>
          <t>Open</t>
        </is>
      </c>
      <c r="E11" s="4" t="inlineStr">
        <is>
          <t>[Web] Bug 08: CSV export ignores the date filter</t>
        </is>
      </c>
      <c r="F11" s="15" t="inlineStr">
        <is>
          <t>Bug</t>
        </is>
      </c>
      <c r="G11" s="4" t="inlineStr">
        <is>
          <t>Sample Client</t>
        </is>
      </c>
      <c r="H11" s="14" t="n">
        <v>46254</v>
      </c>
      <c r="I11" s="15" t="inlineStr">
        <is>
          <t>Post-release</t>
        </is>
      </c>
      <c r="J11" s="15" t="inlineStr">
        <is>
          <t>No</t>
        </is>
      </c>
      <c r="K11" s="15" t="inlineStr">
        <is>
          <t>No</t>
        </is>
      </c>
      <c r="L11" s="15" t="n"/>
      <c r="M11" s="13" t="inlineStr">
        <is>
          <t>Open</t>
        </is>
      </c>
      <c r="N11" s="15" t="inlineStr">
        <is>
          <t>Fixed / Closed</t>
        </is>
      </c>
      <c r="O11" s="6">
        <f>IF(B11="","",IF(AND(K11&lt;&gt;"Yes",OR(F11="Bug",AND(F11="Observation",Config!$C$20="Yes"),AND(F11="Improvement",Config!$C$21="Yes")),OR(J11&lt;&gt;"Yes",Config!$C$22="Yes"),OR(I11&lt;&gt;"Post-release",Config!$C$23="Yes")),"Yes","No"))</f>
        <v/>
      </c>
      <c r="P11" s="4" t="n"/>
      <c r="Q11" s="4" t="inlineStr">
        <is>
          <t>period: reported 2026-08-20, after Initial Scope ended and before the next period began (not confirmed)</t>
        </is>
      </c>
      <c r="R11" s="11" t="inlineStr">
        <is>
          <t>1200000000000027</t>
        </is>
      </c>
    </row>
    <row r="12">
      <c r="A12" s="6">
        <f>IF(B12="","",ROW()-3)</f>
        <v/>
      </c>
      <c r="B12" s="15" t="inlineStr">
        <is>
          <t>Initial Scope</t>
        </is>
      </c>
      <c r="C12" s="4" t="inlineStr">
        <is>
          <t>Bug 09</t>
        </is>
      </c>
      <c r="D12" s="13" t="inlineStr">
        <is>
          <t>Open</t>
        </is>
      </c>
      <c r="E12" s="4" t="inlineStr">
        <is>
          <t>[Web] Bug 09: Export times out for large buildings</t>
        </is>
      </c>
      <c r="F12" s="15" t="inlineStr">
        <is>
          <t>Bug</t>
        </is>
      </c>
      <c r="G12" s="4" t="inlineStr">
        <is>
          <t>Sample QA</t>
        </is>
      </c>
      <c r="H12" s="14" t="n">
        <v>46230</v>
      </c>
      <c r="I12" s="15" t="inlineStr">
        <is>
          <t>Pre-release</t>
        </is>
      </c>
      <c r="J12" s="15" t="inlineStr">
        <is>
          <t>Yes</t>
        </is>
      </c>
      <c r="K12" s="15" t="inlineStr">
        <is>
          <t>No</t>
        </is>
      </c>
      <c r="L12" s="15" t="n"/>
      <c r="M12" s="13" t="inlineStr">
        <is>
          <t>Open</t>
        </is>
      </c>
      <c r="N12" s="15" t="inlineStr">
        <is>
          <t>Fixed / Closed</t>
        </is>
      </c>
      <c r="O12" s="6">
        <f>IF(B12="","",IF(AND(K12&lt;&gt;"Yes",OR(F12="Bug",AND(F12="Observation",Config!$C$20="Yes"),AND(F12="Improvement",Config!$C$21="Yes")),OR(J12&lt;&gt;"Yes",Config!$C$22="Yes"),OR(I12&lt;&gt;"Post-release",Config!$C$23="Yes")),"Yes","No"))</f>
        <v/>
      </c>
      <c r="P12" s="4" t="n"/>
      <c r="Q12" s="4" t="inlineStr">
        <is>
          <t>pre existing: its description or comments say 'not related to this release' (not confirmed)</t>
        </is>
      </c>
      <c r="R12" s="11" t="inlineStr">
        <is>
          <t>1200000000000028</t>
        </is>
      </c>
    </row>
    <row r="13">
      <c r="A13" s="6">
        <f>IF(B13="","",ROW()-3)</f>
        <v/>
      </c>
      <c r="B13" s="15" t="inlineStr">
        <is>
          <t>Additional Requests 1</t>
        </is>
      </c>
      <c r="C13" s="4" t="inlineStr">
        <is>
          <t>Bug 10</t>
        </is>
      </c>
      <c r="D13" s="13" t="inlineStr">
        <is>
          <t>Open</t>
        </is>
      </c>
      <c r="E13" s="4" t="inlineStr">
        <is>
          <t>[Web] Bug 10: Reminder email shows the wrong room</t>
        </is>
      </c>
      <c r="F13" s="15" t="inlineStr">
        <is>
          <t>Bug</t>
        </is>
      </c>
      <c r="G13" s="4" t="inlineStr">
        <is>
          <t>Sample QA</t>
        </is>
      </c>
      <c r="H13" s="14" t="n">
        <v>46274</v>
      </c>
      <c r="I13" s="15" t="inlineStr">
        <is>
          <t>Pre-release</t>
        </is>
      </c>
      <c r="J13" s="15" t="inlineStr">
        <is>
          <t>No</t>
        </is>
      </c>
      <c r="K13" s="15" t="inlineStr">
        <is>
          <t>No</t>
        </is>
      </c>
      <c r="L13" s="15" t="n"/>
      <c r="M13" s="13" t="inlineStr">
        <is>
          <t>Open</t>
        </is>
      </c>
      <c r="N13" s="15" t="inlineStr">
        <is>
          <t>Fixed / Closed</t>
        </is>
      </c>
      <c r="O13" s="6">
        <f>IF(B13="","",IF(AND(K13&lt;&gt;"Yes",OR(F13="Bug",AND(F13="Observation",Config!$C$20="Yes"),AND(F13="Improvement",Config!$C$21="Yes")),OR(J13&lt;&gt;"Yes",Config!$C$22="Yes"),OR(I13&lt;&gt;"Post-release",Config!$C$23="Yes")),"Yes","No"))</f>
        <v/>
      </c>
      <c r="P13" s="4" t="n"/>
      <c r="Q13" s="4" t="n"/>
      <c r="R13" s="11" t="inlineStr">
        <is>
          <t>1200000000000029</t>
        </is>
      </c>
    </row>
    <row r="14">
      <c r="A14" s="6">
        <f>IF(B14="","",ROW()-3)</f>
        <v/>
      </c>
      <c r="B14" s="15" t="inlineStr">
        <is>
          <t>Additional Requests 1</t>
        </is>
      </c>
      <c r="C14" s="4" t="inlineStr">
        <is>
          <t>Bug 11</t>
        </is>
      </c>
      <c r="D14" s="13" t="inlineStr">
        <is>
          <t>Open</t>
        </is>
      </c>
      <c r="E14" s="4" t="inlineStr">
        <is>
          <t>[Web] Bug 11: Cancelled bookings still shown after sync</t>
        </is>
      </c>
      <c r="F14" s="15" t="inlineStr">
        <is>
          <t>Bug</t>
        </is>
      </c>
      <c r="G14" s="4" t="inlineStr">
        <is>
          <t>Sample QA</t>
        </is>
      </c>
      <c r="H14" s="14" t="n">
        <v>46276</v>
      </c>
      <c r="I14" s="15" t="inlineStr">
        <is>
          <t>Pre-release</t>
        </is>
      </c>
      <c r="J14" s="15" t="inlineStr">
        <is>
          <t>No</t>
        </is>
      </c>
      <c r="K14" s="15" t="inlineStr">
        <is>
          <t>No</t>
        </is>
      </c>
      <c r="L14" s="15" t="n"/>
      <c r="M14" s="13" t="inlineStr">
        <is>
          <t>Open</t>
        </is>
      </c>
      <c r="N14" s="15" t="inlineStr">
        <is>
          <t>Open</t>
        </is>
      </c>
      <c r="O14" s="6">
        <f>IF(B14="","",IF(AND(K14&lt;&gt;"Yes",OR(F14="Bug",AND(F14="Observation",Config!$C$20="Yes"),AND(F14="Improvement",Config!$C$21="Yes")),OR(J14&lt;&gt;"Yes",Config!$C$22="Yes"),OR(I14&lt;&gt;"Post-release",Config!$C$23="Yes")),"Yes","No"))</f>
        <v/>
      </c>
      <c r="P14" s="4" t="n"/>
      <c r="Q14" s="4" t="n"/>
      <c r="R14" s="11" t="inlineStr">
        <is>
          <t>1200000000000030</t>
        </is>
      </c>
    </row>
    <row r="15">
      <c r="A15" s="6">
        <f>IF(B15="","",ROW()-3)</f>
        <v/>
      </c>
      <c r="B15" s="15" t="n"/>
      <c r="C15" s="4" t="n"/>
      <c r="D15" s="4" t="n"/>
      <c r="E15" s="4" t="n"/>
      <c r="F15" s="15" t="n"/>
      <c r="G15" s="4" t="n"/>
      <c r="H15" s="4" t="n"/>
      <c r="I15" s="15" t="n"/>
      <c r="J15" s="15" t="n"/>
      <c r="K15" s="15" t="n"/>
      <c r="L15" s="15" t="n"/>
      <c r="M15" s="4" t="n"/>
      <c r="N15" s="15" t="n"/>
      <c r="O15" s="6">
        <f>IF(B15="","",IF(AND(K15&lt;&gt;"Yes",OR(F15="Bug",AND(F15="Observation",Config!$C$20="Yes"),AND(F15="Improvement",Config!$C$21="Yes")),OR(J15&lt;&gt;"Yes",Config!$C$22="Yes"),OR(I15&lt;&gt;"Post-release",Config!$C$23="Yes")),"Yes","No"))</f>
        <v/>
      </c>
      <c r="P15" s="4" t="n"/>
      <c r="Q15" s="4" t="n"/>
      <c r="R15" s="11" t="n"/>
    </row>
    <row r="16">
      <c r="A16" s="6">
        <f>IF(B16="","",ROW()-3)</f>
        <v/>
      </c>
      <c r="B16" s="15" t="n"/>
      <c r="C16" s="4" t="n"/>
      <c r="D16" s="4" t="n"/>
      <c r="E16" s="4" t="n"/>
      <c r="F16" s="15" t="n"/>
      <c r="G16" s="4" t="n"/>
      <c r="H16" s="4" t="n"/>
      <c r="I16" s="15" t="n"/>
      <c r="J16" s="15" t="n"/>
      <c r="K16" s="15" t="n"/>
      <c r="L16" s="15" t="n"/>
      <c r="M16" s="4" t="n"/>
      <c r="N16" s="15" t="n"/>
      <c r="O16" s="6">
        <f>IF(B16="","",IF(AND(K16&lt;&gt;"Yes",OR(F16="Bug",AND(F16="Observation",Config!$C$20="Yes"),AND(F16="Improvement",Config!$C$21="Yes")),OR(J16&lt;&gt;"Yes",Config!$C$22="Yes"),OR(I16&lt;&gt;"Post-release",Config!$C$23="Yes")),"Yes","No"))</f>
        <v/>
      </c>
      <c r="P16" s="4" t="n"/>
      <c r="Q16" s="4" t="n"/>
      <c r="R16" s="11" t="n"/>
    </row>
    <row r="17">
      <c r="A17" s="6">
        <f>IF(B17="","",ROW()-3)</f>
        <v/>
      </c>
      <c r="B17" s="15" t="n"/>
      <c r="C17" s="4" t="n"/>
      <c r="D17" s="4" t="n"/>
      <c r="E17" s="4" t="n"/>
      <c r="F17" s="15" t="n"/>
      <c r="G17" s="4" t="n"/>
      <c r="H17" s="4" t="n"/>
      <c r="I17" s="15" t="n"/>
      <c r="J17" s="15" t="n"/>
      <c r="K17" s="15" t="n"/>
      <c r="L17" s="15" t="n"/>
      <c r="M17" s="4" t="n"/>
      <c r="N17" s="15" t="n"/>
      <c r="O17" s="6">
        <f>IF(B17="","",IF(AND(K17&lt;&gt;"Yes",OR(F17="Bug",AND(F17="Observation",Config!$C$20="Yes"),AND(F17="Improvement",Config!$C$21="Yes")),OR(J17&lt;&gt;"Yes",Config!$C$22="Yes"),OR(I17&lt;&gt;"Post-release",Config!$C$23="Yes")),"Yes","No"))</f>
        <v/>
      </c>
      <c r="P17" s="4" t="n"/>
      <c r="Q17" s="4" t="n"/>
      <c r="R17" s="11" t="n"/>
    </row>
    <row r="18">
      <c r="A18" s="6">
        <f>IF(B18="","",ROW()-3)</f>
        <v/>
      </c>
      <c r="B18" s="15" t="n"/>
      <c r="C18" s="4" t="n"/>
      <c r="D18" s="4" t="n"/>
      <c r="E18" s="4" t="n"/>
      <c r="F18" s="15" t="n"/>
      <c r="G18" s="4" t="n"/>
      <c r="H18" s="4" t="n"/>
      <c r="I18" s="15" t="n"/>
      <c r="J18" s="15" t="n"/>
      <c r="K18" s="15" t="n"/>
      <c r="L18" s="15" t="n"/>
      <c r="M18" s="4" t="n"/>
      <c r="N18" s="15" t="n"/>
      <c r="O18" s="6">
        <f>IF(B18="","",IF(AND(K18&lt;&gt;"Yes",OR(F18="Bug",AND(F18="Observation",Config!$C$20="Yes"),AND(F18="Improvement",Config!$C$21="Yes")),OR(J18&lt;&gt;"Yes",Config!$C$22="Yes"),OR(I18&lt;&gt;"Post-release",Config!$C$23="Yes")),"Yes","No"))</f>
        <v/>
      </c>
      <c r="P18" s="4" t="n"/>
      <c r="Q18" s="4" t="n"/>
      <c r="R18" s="11" t="n"/>
    </row>
    <row r="19">
      <c r="A19" s="6">
        <f>IF(B19="","",ROW()-3)</f>
        <v/>
      </c>
      <c r="B19" s="15" t="n"/>
      <c r="C19" s="4" t="n"/>
      <c r="D19" s="4" t="n"/>
      <c r="E19" s="4" t="n"/>
      <c r="F19" s="15" t="n"/>
      <c r="G19" s="4" t="n"/>
      <c r="H19" s="4" t="n"/>
      <c r="I19" s="15" t="n"/>
      <c r="J19" s="15" t="n"/>
      <c r="K19" s="15" t="n"/>
      <c r="L19" s="15" t="n"/>
      <c r="M19" s="4" t="n"/>
      <c r="N19" s="15" t="n"/>
      <c r="O19" s="6">
        <f>IF(B19="","",IF(AND(K19&lt;&gt;"Yes",OR(F19="Bug",AND(F19="Observation",Config!$C$20="Yes"),AND(F19="Improvement",Config!$C$21="Yes")),OR(J19&lt;&gt;"Yes",Config!$C$22="Yes"),OR(I19&lt;&gt;"Post-release",Config!$C$23="Yes")),"Yes","No"))</f>
        <v/>
      </c>
      <c r="P19" s="4" t="n"/>
      <c r="Q19" s="4" t="n"/>
      <c r="R19" s="11" t="n"/>
    </row>
    <row r="20">
      <c r="A20" s="6">
        <f>IF(B20="","",ROW()-3)</f>
        <v/>
      </c>
      <c r="B20" s="15" t="n"/>
      <c r="C20" s="4" t="n"/>
      <c r="D20" s="4" t="n"/>
      <c r="E20" s="4" t="n"/>
      <c r="F20" s="15" t="n"/>
      <c r="G20" s="4" t="n"/>
      <c r="H20" s="4" t="n"/>
      <c r="I20" s="15" t="n"/>
      <c r="J20" s="15" t="n"/>
      <c r="K20" s="15" t="n"/>
      <c r="L20" s="15" t="n"/>
      <c r="M20" s="4" t="n"/>
      <c r="N20" s="15" t="n"/>
      <c r="O20" s="6">
        <f>IF(B20="","",IF(AND(K20&lt;&gt;"Yes",OR(F20="Bug",AND(F20="Observation",Config!$C$20="Yes"),AND(F20="Improvement",Config!$C$21="Yes")),OR(J20&lt;&gt;"Yes",Config!$C$22="Yes"),OR(I20&lt;&gt;"Post-release",Config!$C$23="Yes")),"Yes","No"))</f>
        <v/>
      </c>
      <c r="P20" s="4" t="n"/>
      <c r="Q20" s="4" t="n"/>
      <c r="R20" s="11" t="n"/>
    </row>
    <row r="21">
      <c r="A21" s="6">
        <f>IF(B21="","",ROW()-3)</f>
        <v/>
      </c>
      <c r="B21" s="15" t="n"/>
      <c r="C21" s="4" t="n"/>
      <c r="D21" s="4" t="n"/>
      <c r="E21" s="4" t="n"/>
      <c r="F21" s="15" t="n"/>
      <c r="G21" s="4" t="n"/>
      <c r="H21" s="4" t="n"/>
      <c r="I21" s="15" t="n"/>
      <c r="J21" s="15" t="n"/>
      <c r="K21" s="15" t="n"/>
      <c r="L21" s="15" t="n"/>
      <c r="M21" s="4" t="n"/>
      <c r="N21" s="15" t="n"/>
      <c r="O21" s="6">
        <f>IF(B21="","",IF(AND(K21&lt;&gt;"Yes",OR(F21="Bug",AND(F21="Observation",Config!$C$20="Yes"),AND(F21="Improvement",Config!$C$21="Yes")),OR(J21&lt;&gt;"Yes",Config!$C$22="Yes"),OR(I21&lt;&gt;"Post-release",Config!$C$23="Yes")),"Yes","No"))</f>
        <v/>
      </c>
      <c r="P21" s="4" t="n"/>
      <c r="Q21" s="4" t="n"/>
      <c r="R21" s="11" t="n"/>
    </row>
    <row r="22">
      <c r="A22" s="6">
        <f>IF(B22="","",ROW()-3)</f>
        <v/>
      </c>
      <c r="B22" s="15" t="n"/>
      <c r="C22" s="4" t="n"/>
      <c r="D22" s="4" t="n"/>
      <c r="E22" s="4" t="n"/>
      <c r="F22" s="15" t="n"/>
      <c r="G22" s="4" t="n"/>
      <c r="H22" s="4" t="n"/>
      <c r="I22" s="15" t="n"/>
      <c r="J22" s="15" t="n"/>
      <c r="K22" s="15" t="n"/>
      <c r="L22" s="15" t="n"/>
      <c r="M22" s="4" t="n"/>
      <c r="N22" s="15" t="n"/>
      <c r="O22" s="6">
        <f>IF(B22="","",IF(AND(K22&lt;&gt;"Yes",OR(F22="Bug",AND(F22="Observation",Config!$C$20="Yes"),AND(F22="Improvement",Config!$C$21="Yes")),OR(J22&lt;&gt;"Yes",Config!$C$22="Yes"),OR(I22&lt;&gt;"Post-release",Config!$C$23="Yes")),"Yes","No"))</f>
        <v/>
      </c>
      <c r="P22" s="4" t="n"/>
      <c r="Q22" s="4" t="n"/>
      <c r="R22" s="11" t="n"/>
    </row>
    <row r="23">
      <c r="A23" s="6">
        <f>IF(B23="","",ROW()-3)</f>
        <v/>
      </c>
      <c r="B23" s="15" t="n"/>
      <c r="C23" s="4" t="n"/>
      <c r="D23" s="4" t="n"/>
      <c r="E23" s="4" t="n"/>
      <c r="F23" s="15" t="n"/>
      <c r="G23" s="4" t="n"/>
      <c r="H23" s="4" t="n"/>
      <c r="I23" s="15" t="n"/>
      <c r="J23" s="15" t="n"/>
      <c r="K23" s="15" t="n"/>
      <c r="L23" s="15" t="n"/>
      <c r="M23" s="4" t="n"/>
      <c r="N23" s="15" t="n"/>
      <c r="O23" s="6">
        <f>IF(B23="","",IF(AND(K23&lt;&gt;"Yes",OR(F23="Bug",AND(F23="Observation",Config!$C$20="Yes"),AND(F23="Improvement",Config!$C$21="Yes")),OR(J23&lt;&gt;"Yes",Config!$C$22="Yes"),OR(I23&lt;&gt;"Post-release",Config!$C$23="Yes")),"Yes","No"))</f>
        <v/>
      </c>
      <c r="P23" s="4" t="n"/>
      <c r="Q23" s="4" t="n"/>
      <c r="R23" s="11" t="n"/>
    </row>
    <row r="24">
      <c r="A24" s="6">
        <f>IF(B24="","",ROW()-3)</f>
        <v/>
      </c>
      <c r="B24" s="15" t="n"/>
      <c r="C24" s="4" t="n"/>
      <c r="D24" s="4" t="n"/>
      <c r="E24" s="4" t="n"/>
      <c r="F24" s="15" t="n"/>
      <c r="G24" s="4" t="n"/>
      <c r="H24" s="4" t="n"/>
      <c r="I24" s="15" t="n"/>
      <c r="J24" s="15" t="n"/>
      <c r="K24" s="15" t="n"/>
      <c r="L24" s="15" t="n"/>
      <c r="M24" s="4" t="n"/>
      <c r="N24" s="15" t="n"/>
      <c r="O24" s="6">
        <f>IF(B24="","",IF(AND(K24&lt;&gt;"Yes",OR(F24="Bug",AND(F24="Observation",Config!$C$20="Yes"),AND(F24="Improvement",Config!$C$21="Yes")),OR(J24&lt;&gt;"Yes",Config!$C$22="Yes"),OR(I24&lt;&gt;"Post-release",Config!$C$23="Yes")),"Yes","No"))</f>
        <v/>
      </c>
      <c r="P24" s="4" t="n"/>
      <c r="Q24" s="4" t="n"/>
      <c r="R24" s="11" t="n"/>
    </row>
    <row r="25">
      <c r="A25" s="6">
        <f>IF(B25="","",ROW()-3)</f>
        <v/>
      </c>
      <c r="B25" s="15" t="n"/>
      <c r="C25" s="4" t="n"/>
      <c r="D25" s="4" t="n"/>
      <c r="E25" s="4" t="n"/>
      <c r="F25" s="15" t="n"/>
      <c r="G25" s="4" t="n"/>
      <c r="H25" s="4" t="n"/>
      <c r="I25" s="15" t="n"/>
      <c r="J25" s="15" t="n"/>
      <c r="K25" s="15" t="n"/>
      <c r="L25" s="15" t="n"/>
      <c r="M25" s="4" t="n"/>
      <c r="N25" s="15" t="n"/>
      <c r="O25" s="6">
        <f>IF(B25="","",IF(AND(K25&lt;&gt;"Yes",OR(F25="Bug",AND(F25="Observation",Config!$C$20="Yes"),AND(F25="Improvement",Config!$C$21="Yes")),OR(J25&lt;&gt;"Yes",Config!$C$22="Yes"),OR(I25&lt;&gt;"Post-release",Config!$C$23="Yes")),"Yes","No"))</f>
        <v/>
      </c>
      <c r="P25" s="4" t="n"/>
      <c r="Q25" s="4" t="n"/>
      <c r="R25" s="11" t="n"/>
    </row>
    <row r="26">
      <c r="A26" s="6">
        <f>IF(B26="","",ROW()-3)</f>
        <v/>
      </c>
      <c r="B26" s="15" t="n"/>
      <c r="C26" s="4" t="n"/>
      <c r="D26" s="4" t="n"/>
      <c r="E26" s="4" t="n"/>
      <c r="F26" s="15" t="n"/>
      <c r="G26" s="4" t="n"/>
      <c r="H26" s="4" t="n"/>
      <c r="I26" s="15" t="n"/>
      <c r="J26" s="15" t="n"/>
      <c r="K26" s="15" t="n"/>
      <c r="L26" s="15" t="n"/>
      <c r="M26" s="4" t="n"/>
      <c r="N26" s="15" t="n"/>
      <c r="O26" s="6">
        <f>IF(B26="","",IF(AND(K26&lt;&gt;"Yes",OR(F26="Bug",AND(F26="Observation",Config!$C$20="Yes"),AND(F26="Improvement",Config!$C$21="Yes")),OR(J26&lt;&gt;"Yes",Config!$C$22="Yes"),OR(I26&lt;&gt;"Post-release",Config!$C$23="Yes")),"Yes","No"))</f>
        <v/>
      </c>
      <c r="P26" s="4" t="n"/>
      <c r="Q26" s="4" t="n"/>
      <c r="R26" s="11" t="n"/>
    </row>
    <row r="27">
      <c r="A27" s="6">
        <f>IF(B27="","",ROW()-3)</f>
        <v/>
      </c>
      <c r="B27" s="15" t="n"/>
      <c r="C27" s="4" t="n"/>
      <c r="D27" s="4" t="n"/>
      <c r="E27" s="4" t="n"/>
      <c r="F27" s="15" t="n"/>
      <c r="G27" s="4" t="n"/>
      <c r="H27" s="4" t="n"/>
      <c r="I27" s="15" t="n"/>
      <c r="J27" s="15" t="n"/>
      <c r="K27" s="15" t="n"/>
      <c r="L27" s="15" t="n"/>
      <c r="M27" s="4" t="n"/>
      <c r="N27" s="15" t="n"/>
      <c r="O27" s="6">
        <f>IF(B27="","",IF(AND(K27&lt;&gt;"Yes",OR(F27="Bug",AND(F27="Observation",Config!$C$20="Yes"),AND(F27="Improvement",Config!$C$21="Yes")),OR(J27&lt;&gt;"Yes",Config!$C$22="Yes"),OR(I27&lt;&gt;"Post-release",Config!$C$23="Yes")),"Yes","No"))</f>
        <v/>
      </c>
      <c r="P27" s="4" t="n"/>
      <c r="Q27" s="4" t="n"/>
      <c r="R27" s="11" t="n"/>
    </row>
    <row r="28">
      <c r="A28" s="6">
        <f>IF(B28="","",ROW()-3)</f>
        <v/>
      </c>
      <c r="B28" s="15" t="n"/>
      <c r="C28" s="4" t="n"/>
      <c r="D28" s="4" t="n"/>
      <c r="E28" s="4" t="n"/>
      <c r="F28" s="15" t="n"/>
      <c r="G28" s="4" t="n"/>
      <c r="H28" s="4" t="n"/>
      <c r="I28" s="15" t="n"/>
      <c r="J28" s="15" t="n"/>
      <c r="K28" s="15" t="n"/>
      <c r="L28" s="15" t="n"/>
      <c r="M28" s="4" t="n"/>
      <c r="N28" s="15" t="n"/>
      <c r="O28" s="6">
        <f>IF(B28="","",IF(AND(K28&lt;&gt;"Yes",OR(F28="Bug",AND(F28="Observation",Config!$C$20="Yes"),AND(F28="Improvement",Config!$C$21="Yes")),OR(J28&lt;&gt;"Yes",Config!$C$22="Yes"),OR(I28&lt;&gt;"Post-release",Config!$C$23="Yes")),"Yes","No"))</f>
        <v/>
      </c>
      <c r="P28" s="4" t="n"/>
      <c r="Q28" s="4" t="n"/>
      <c r="R28" s="11" t="n"/>
    </row>
    <row r="29">
      <c r="A29" s="6">
        <f>IF(B29="","",ROW()-3)</f>
        <v/>
      </c>
      <c r="B29" s="15" t="n"/>
      <c r="C29" s="4" t="n"/>
      <c r="D29" s="4" t="n"/>
      <c r="E29" s="4" t="n"/>
      <c r="F29" s="15" t="n"/>
      <c r="G29" s="4" t="n"/>
      <c r="H29" s="4" t="n"/>
      <c r="I29" s="15" t="n"/>
      <c r="J29" s="15" t="n"/>
      <c r="K29" s="15" t="n"/>
      <c r="L29" s="15" t="n"/>
      <c r="M29" s="4" t="n"/>
      <c r="N29" s="15" t="n"/>
      <c r="O29" s="6">
        <f>IF(B29="","",IF(AND(K29&lt;&gt;"Yes",OR(F29="Bug",AND(F29="Observation",Config!$C$20="Yes"),AND(F29="Improvement",Config!$C$21="Yes")),OR(J29&lt;&gt;"Yes",Config!$C$22="Yes"),OR(I29&lt;&gt;"Post-release",Config!$C$23="Yes")),"Yes","No"))</f>
        <v/>
      </c>
      <c r="P29" s="4" t="n"/>
      <c r="Q29" s="4" t="n"/>
      <c r="R29" s="11" t="n"/>
    </row>
    <row r="30">
      <c r="A30" s="6">
        <f>IF(B30="","",ROW()-3)</f>
        <v/>
      </c>
      <c r="B30" s="15" t="n"/>
      <c r="C30" s="4" t="n"/>
      <c r="D30" s="4" t="n"/>
      <c r="E30" s="4" t="n"/>
      <c r="F30" s="15" t="n"/>
      <c r="G30" s="4" t="n"/>
      <c r="H30" s="4" t="n"/>
      <c r="I30" s="15" t="n"/>
      <c r="J30" s="15" t="n"/>
      <c r="K30" s="15" t="n"/>
      <c r="L30" s="15" t="n"/>
      <c r="M30" s="4" t="n"/>
      <c r="N30" s="15" t="n"/>
      <c r="O30" s="6">
        <f>IF(B30="","",IF(AND(K30&lt;&gt;"Yes",OR(F30="Bug",AND(F30="Observation",Config!$C$20="Yes"),AND(F30="Improvement",Config!$C$21="Yes")),OR(J30&lt;&gt;"Yes",Config!$C$22="Yes"),OR(I30&lt;&gt;"Post-release",Config!$C$23="Yes")),"Yes","No"))</f>
        <v/>
      </c>
      <c r="P30" s="4" t="n"/>
      <c r="Q30" s="4" t="n"/>
      <c r="R30" s="11" t="n"/>
    </row>
    <row r="31">
      <c r="A31" s="6">
        <f>IF(B31="","",ROW()-3)</f>
        <v/>
      </c>
      <c r="B31" s="15" t="n"/>
      <c r="C31" s="4" t="n"/>
      <c r="D31" s="4" t="n"/>
      <c r="E31" s="4" t="n"/>
      <c r="F31" s="15" t="n"/>
      <c r="G31" s="4" t="n"/>
      <c r="H31" s="4" t="n"/>
      <c r="I31" s="15" t="n"/>
      <c r="J31" s="15" t="n"/>
      <c r="K31" s="15" t="n"/>
      <c r="L31" s="15" t="n"/>
      <c r="M31" s="4" t="n"/>
      <c r="N31" s="15" t="n"/>
      <c r="O31" s="6">
        <f>IF(B31="","",IF(AND(K31&lt;&gt;"Yes",OR(F31="Bug",AND(F31="Observation",Config!$C$20="Yes"),AND(F31="Improvement",Config!$C$21="Yes")),OR(J31&lt;&gt;"Yes",Config!$C$22="Yes"),OR(I31&lt;&gt;"Post-release",Config!$C$23="Yes")),"Yes","No"))</f>
        <v/>
      </c>
      <c r="P31" s="4" t="n"/>
      <c r="Q31" s="4" t="n"/>
      <c r="R31" s="11" t="n"/>
    </row>
    <row r="32">
      <c r="A32" s="6">
        <f>IF(B32="","",ROW()-3)</f>
        <v/>
      </c>
      <c r="B32" s="15" t="n"/>
      <c r="C32" s="4" t="n"/>
      <c r="D32" s="4" t="n"/>
      <c r="E32" s="4" t="n"/>
      <c r="F32" s="15" t="n"/>
      <c r="G32" s="4" t="n"/>
      <c r="H32" s="4" t="n"/>
      <c r="I32" s="15" t="n"/>
      <c r="J32" s="15" t="n"/>
      <c r="K32" s="15" t="n"/>
      <c r="L32" s="15" t="n"/>
      <c r="M32" s="4" t="n"/>
      <c r="N32" s="15" t="n"/>
      <c r="O32" s="6">
        <f>IF(B32="","",IF(AND(K32&lt;&gt;"Yes",OR(F32="Bug",AND(F32="Observation",Config!$C$20="Yes"),AND(F32="Improvement",Config!$C$21="Yes")),OR(J32&lt;&gt;"Yes",Config!$C$22="Yes"),OR(I32&lt;&gt;"Post-release",Config!$C$23="Yes")),"Yes","No"))</f>
        <v/>
      </c>
      <c r="P32" s="4" t="n"/>
      <c r="Q32" s="4" t="n"/>
      <c r="R32" s="11" t="n"/>
    </row>
    <row r="33">
      <c r="A33" s="6">
        <f>IF(B33="","",ROW()-3)</f>
        <v/>
      </c>
      <c r="B33" s="15" t="n"/>
      <c r="C33" s="4" t="n"/>
      <c r="D33" s="4" t="n"/>
      <c r="E33" s="4" t="n"/>
      <c r="F33" s="15" t="n"/>
      <c r="G33" s="4" t="n"/>
      <c r="H33" s="4" t="n"/>
      <c r="I33" s="15" t="n"/>
      <c r="J33" s="15" t="n"/>
      <c r="K33" s="15" t="n"/>
      <c r="L33" s="15" t="n"/>
      <c r="M33" s="4" t="n"/>
      <c r="N33" s="15" t="n"/>
      <c r="O33" s="6">
        <f>IF(B33="","",IF(AND(K33&lt;&gt;"Yes",OR(F33="Bug",AND(F33="Observation",Config!$C$20="Yes"),AND(F33="Improvement",Config!$C$21="Yes")),OR(J33&lt;&gt;"Yes",Config!$C$22="Yes"),OR(I33&lt;&gt;"Post-release",Config!$C$23="Yes")),"Yes","No"))</f>
        <v/>
      </c>
      <c r="P33" s="4" t="n"/>
      <c r="Q33" s="4" t="n"/>
      <c r="R33" s="11" t="n"/>
    </row>
    <row r="34">
      <c r="A34" s="6">
        <f>IF(B34="","",ROW()-3)</f>
        <v/>
      </c>
      <c r="B34" s="15" t="n"/>
      <c r="C34" s="4" t="n"/>
      <c r="D34" s="4" t="n"/>
      <c r="E34" s="4" t="n"/>
      <c r="F34" s="15" t="n"/>
      <c r="G34" s="4" t="n"/>
      <c r="H34" s="4" t="n"/>
      <c r="I34" s="15" t="n"/>
      <c r="J34" s="15" t="n"/>
      <c r="K34" s="15" t="n"/>
      <c r="L34" s="15" t="n"/>
      <c r="M34" s="4" t="n"/>
      <c r="N34" s="15" t="n"/>
      <c r="O34" s="6">
        <f>IF(B34="","",IF(AND(K34&lt;&gt;"Yes",OR(F34="Bug",AND(F34="Observation",Config!$C$20="Yes"),AND(F34="Improvement",Config!$C$21="Yes")),OR(J34&lt;&gt;"Yes",Config!$C$22="Yes"),OR(I34&lt;&gt;"Post-release",Config!$C$23="Yes")),"Yes","No"))</f>
        <v/>
      </c>
      <c r="P34" s="4" t="n"/>
      <c r="Q34" s="4" t="n"/>
      <c r="R34" s="11" t="n"/>
    </row>
    <row r="35">
      <c r="A35" s="6">
        <f>IF(B35="","",ROW()-3)</f>
        <v/>
      </c>
      <c r="B35" s="15" t="n"/>
      <c r="C35" s="4" t="n"/>
      <c r="D35" s="4" t="n"/>
      <c r="E35" s="4" t="n"/>
      <c r="F35" s="15" t="n"/>
      <c r="G35" s="4" t="n"/>
      <c r="H35" s="4" t="n"/>
      <c r="I35" s="15" t="n"/>
      <c r="J35" s="15" t="n"/>
      <c r="K35" s="15" t="n"/>
      <c r="L35" s="15" t="n"/>
      <c r="M35" s="4" t="n"/>
      <c r="N35" s="15" t="n"/>
      <c r="O35" s="6">
        <f>IF(B35="","",IF(AND(K35&lt;&gt;"Yes",OR(F35="Bug",AND(F35="Observation",Config!$C$20="Yes"),AND(F35="Improvement",Config!$C$21="Yes")),OR(J35&lt;&gt;"Yes",Config!$C$22="Yes"),OR(I35&lt;&gt;"Post-release",Config!$C$23="Yes")),"Yes","No"))</f>
        <v/>
      </c>
      <c r="P35" s="4" t="n"/>
      <c r="Q35" s="4" t="n"/>
      <c r="R35" s="11" t="n"/>
    </row>
    <row r="36">
      <c r="A36" s="6">
        <f>IF(B36="","",ROW()-3)</f>
        <v/>
      </c>
      <c r="B36" s="15" t="n"/>
      <c r="C36" s="4" t="n"/>
      <c r="D36" s="4" t="n"/>
      <c r="E36" s="4" t="n"/>
      <c r="F36" s="15" t="n"/>
      <c r="G36" s="4" t="n"/>
      <c r="H36" s="4" t="n"/>
      <c r="I36" s="15" t="n"/>
      <c r="J36" s="15" t="n"/>
      <c r="K36" s="15" t="n"/>
      <c r="L36" s="15" t="n"/>
      <c r="M36" s="4" t="n"/>
      <c r="N36" s="15" t="n"/>
      <c r="O36" s="6">
        <f>IF(B36="","",IF(AND(K36&lt;&gt;"Yes",OR(F36="Bug",AND(F36="Observation",Config!$C$20="Yes"),AND(F36="Improvement",Config!$C$21="Yes")),OR(J36&lt;&gt;"Yes",Config!$C$22="Yes"),OR(I36&lt;&gt;"Post-release",Config!$C$23="Yes")),"Yes","No"))</f>
        <v/>
      </c>
      <c r="P36" s="4" t="n"/>
      <c r="Q36" s="4" t="n"/>
      <c r="R36" s="11" t="n"/>
    </row>
    <row r="37">
      <c r="A37" s="6">
        <f>IF(B37="","",ROW()-3)</f>
        <v/>
      </c>
      <c r="B37" s="15" t="n"/>
      <c r="C37" s="4" t="n"/>
      <c r="D37" s="4" t="n"/>
      <c r="E37" s="4" t="n"/>
      <c r="F37" s="15" t="n"/>
      <c r="G37" s="4" t="n"/>
      <c r="H37" s="4" t="n"/>
      <c r="I37" s="15" t="n"/>
      <c r="J37" s="15" t="n"/>
      <c r="K37" s="15" t="n"/>
      <c r="L37" s="15" t="n"/>
      <c r="M37" s="4" t="n"/>
      <c r="N37" s="15" t="n"/>
      <c r="O37" s="6">
        <f>IF(B37="","",IF(AND(K37&lt;&gt;"Yes",OR(F37="Bug",AND(F37="Observation",Config!$C$20="Yes"),AND(F37="Improvement",Config!$C$21="Yes")),OR(J37&lt;&gt;"Yes",Config!$C$22="Yes"),OR(I37&lt;&gt;"Post-release",Config!$C$23="Yes")),"Yes","No"))</f>
        <v/>
      </c>
      <c r="P37" s="4" t="n"/>
      <c r="Q37" s="4" t="n"/>
      <c r="R37" s="11" t="n"/>
    </row>
    <row r="38">
      <c r="A38" s="6">
        <f>IF(B38="","",ROW()-3)</f>
        <v/>
      </c>
      <c r="B38" s="15" t="n"/>
      <c r="C38" s="4" t="n"/>
      <c r="D38" s="4" t="n"/>
      <c r="E38" s="4" t="n"/>
      <c r="F38" s="15" t="n"/>
      <c r="G38" s="4" t="n"/>
      <c r="H38" s="4" t="n"/>
      <c r="I38" s="15" t="n"/>
      <c r="J38" s="15" t="n"/>
      <c r="K38" s="15" t="n"/>
      <c r="L38" s="15" t="n"/>
      <c r="M38" s="4" t="n"/>
      <c r="N38" s="15" t="n"/>
      <c r="O38" s="6">
        <f>IF(B38="","",IF(AND(K38&lt;&gt;"Yes",OR(F38="Bug",AND(F38="Observation",Config!$C$20="Yes"),AND(F38="Improvement",Config!$C$21="Yes")),OR(J38&lt;&gt;"Yes",Config!$C$22="Yes"),OR(I38&lt;&gt;"Post-release",Config!$C$23="Yes")),"Yes","No"))</f>
        <v/>
      </c>
      <c r="P38" s="4" t="n"/>
      <c r="Q38" s="4" t="n"/>
      <c r="R38" s="11" t="n"/>
    </row>
    <row r="39">
      <c r="A39" s="6">
        <f>IF(B39="","",ROW()-3)</f>
        <v/>
      </c>
      <c r="B39" s="15" t="n"/>
      <c r="C39" s="4" t="n"/>
      <c r="D39" s="4" t="n"/>
      <c r="E39" s="4" t="n"/>
      <c r="F39" s="15" t="n"/>
      <c r="G39" s="4" t="n"/>
      <c r="H39" s="4" t="n"/>
      <c r="I39" s="15" t="n"/>
      <c r="J39" s="15" t="n"/>
      <c r="K39" s="15" t="n"/>
      <c r="L39" s="15" t="n"/>
      <c r="M39" s="4" t="n"/>
      <c r="N39" s="15" t="n"/>
      <c r="O39" s="6">
        <f>IF(B39="","",IF(AND(K39&lt;&gt;"Yes",OR(F39="Bug",AND(F39="Observation",Config!$C$20="Yes"),AND(F39="Improvement",Config!$C$21="Yes")),OR(J39&lt;&gt;"Yes",Config!$C$22="Yes"),OR(I39&lt;&gt;"Post-release",Config!$C$23="Yes")),"Yes","No"))</f>
        <v/>
      </c>
      <c r="P39" s="4" t="n"/>
      <c r="Q39" s="4" t="n"/>
      <c r="R39" s="11" t="n"/>
    </row>
    <row r="40">
      <c r="A40" s="6">
        <f>IF(B40="","",ROW()-3)</f>
        <v/>
      </c>
      <c r="B40" s="15" t="n"/>
      <c r="C40" s="4" t="n"/>
      <c r="D40" s="4" t="n"/>
      <c r="E40" s="4" t="n"/>
      <c r="F40" s="15" t="n"/>
      <c r="G40" s="4" t="n"/>
      <c r="H40" s="4" t="n"/>
      <c r="I40" s="15" t="n"/>
      <c r="J40" s="15" t="n"/>
      <c r="K40" s="15" t="n"/>
      <c r="L40" s="15" t="n"/>
      <c r="M40" s="4" t="n"/>
      <c r="N40" s="15" t="n"/>
      <c r="O40" s="6">
        <f>IF(B40="","",IF(AND(K40&lt;&gt;"Yes",OR(F40="Bug",AND(F40="Observation",Config!$C$20="Yes"),AND(F40="Improvement",Config!$C$21="Yes")),OR(J40&lt;&gt;"Yes",Config!$C$22="Yes"),OR(I40&lt;&gt;"Post-release",Config!$C$23="Yes")),"Yes","No"))</f>
        <v/>
      </c>
      <c r="P40" s="4" t="n"/>
      <c r="Q40" s="4" t="n"/>
      <c r="R40" s="11" t="n"/>
    </row>
    <row r="41">
      <c r="A41" s="6">
        <f>IF(B41="","",ROW()-3)</f>
        <v/>
      </c>
      <c r="B41" s="15" t="n"/>
      <c r="C41" s="4" t="n"/>
      <c r="D41" s="4" t="n"/>
      <c r="E41" s="4" t="n"/>
      <c r="F41" s="15" t="n"/>
      <c r="G41" s="4" t="n"/>
      <c r="H41" s="4" t="n"/>
      <c r="I41" s="15" t="n"/>
      <c r="J41" s="15" t="n"/>
      <c r="K41" s="15" t="n"/>
      <c r="L41" s="15" t="n"/>
      <c r="M41" s="4" t="n"/>
      <c r="N41" s="15" t="n"/>
      <c r="O41" s="6">
        <f>IF(B41="","",IF(AND(K41&lt;&gt;"Yes",OR(F41="Bug",AND(F41="Observation",Config!$C$20="Yes"),AND(F41="Improvement",Config!$C$21="Yes")),OR(J41&lt;&gt;"Yes",Config!$C$22="Yes"),OR(I41&lt;&gt;"Post-release",Config!$C$23="Yes")),"Yes","No"))</f>
        <v/>
      </c>
      <c r="P41" s="4" t="n"/>
      <c r="Q41" s="4" t="n"/>
      <c r="R41" s="11" t="n"/>
    </row>
    <row r="42">
      <c r="A42" s="6">
        <f>IF(B42="","",ROW()-3)</f>
        <v/>
      </c>
      <c r="B42" s="15" t="n"/>
      <c r="C42" s="4" t="n"/>
      <c r="D42" s="4" t="n"/>
      <c r="E42" s="4" t="n"/>
      <c r="F42" s="15" t="n"/>
      <c r="G42" s="4" t="n"/>
      <c r="H42" s="4" t="n"/>
      <c r="I42" s="15" t="n"/>
      <c r="J42" s="15" t="n"/>
      <c r="K42" s="15" t="n"/>
      <c r="L42" s="15" t="n"/>
      <c r="M42" s="4" t="n"/>
      <c r="N42" s="15" t="n"/>
      <c r="O42" s="6">
        <f>IF(B42="","",IF(AND(K42&lt;&gt;"Yes",OR(F42="Bug",AND(F42="Observation",Config!$C$20="Yes"),AND(F42="Improvement",Config!$C$21="Yes")),OR(J42&lt;&gt;"Yes",Config!$C$22="Yes"),OR(I42&lt;&gt;"Post-release",Config!$C$23="Yes")),"Yes","No"))</f>
        <v/>
      </c>
      <c r="P42" s="4" t="n"/>
      <c r="Q42" s="4" t="n"/>
      <c r="R42" s="11" t="n"/>
    </row>
    <row r="43">
      <c r="A43" s="6">
        <f>IF(B43="","",ROW()-3)</f>
        <v/>
      </c>
      <c r="B43" s="15" t="n"/>
      <c r="C43" s="4" t="n"/>
      <c r="D43" s="4" t="n"/>
      <c r="E43" s="4" t="n"/>
      <c r="F43" s="15" t="n"/>
      <c r="G43" s="4" t="n"/>
      <c r="H43" s="4" t="n"/>
      <c r="I43" s="15" t="n"/>
      <c r="J43" s="15" t="n"/>
      <c r="K43" s="15" t="n"/>
      <c r="L43" s="15" t="n"/>
      <c r="M43" s="4" t="n"/>
      <c r="N43" s="15" t="n"/>
      <c r="O43" s="6">
        <f>IF(B43="","",IF(AND(K43&lt;&gt;"Yes",OR(F43="Bug",AND(F43="Observation",Config!$C$20="Yes"),AND(F43="Improvement",Config!$C$21="Yes")),OR(J43&lt;&gt;"Yes",Config!$C$22="Yes"),OR(I43&lt;&gt;"Post-release",Config!$C$23="Yes")),"Yes","No"))</f>
        <v/>
      </c>
      <c r="P43" s="4" t="n"/>
      <c r="Q43" s="4" t="n"/>
      <c r="R43" s="11" t="n"/>
    </row>
    <row r="44">
      <c r="A44" s="6">
        <f>IF(B44="","",ROW()-3)</f>
        <v/>
      </c>
      <c r="B44" s="15" t="n"/>
      <c r="C44" s="4" t="n"/>
      <c r="D44" s="4" t="n"/>
      <c r="E44" s="4" t="n"/>
      <c r="F44" s="15" t="n"/>
      <c r="G44" s="4" t="n"/>
      <c r="H44" s="4" t="n"/>
      <c r="I44" s="15" t="n"/>
      <c r="J44" s="15" t="n"/>
      <c r="K44" s="15" t="n"/>
      <c r="L44" s="15" t="n"/>
      <c r="M44" s="4" t="n"/>
      <c r="N44" s="15" t="n"/>
      <c r="O44" s="6">
        <f>IF(B44="","",IF(AND(K44&lt;&gt;"Yes",OR(F44="Bug",AND(F44="Observation",Config!$C$20="Yes"),AND(F44="Improvement",Config!$C$21="Yes")),OR(J44&lt;&gt;"Yes",Config!$C$22="Yes"),OR(I44&lt;&gt;"Post-release",Config!$C$23="Yes")),"Yes","No"))</f>
        <v/>
      </c>
      <c r="P44" s="4" t="n"/>
      <c r="Q44" s="4" t="n"/>
      <c r="R44" s="11" t="n"/>
    </row>
    <row r="45">
      <c r="A45" s="6">
        <f>IF(B45="","",ROW()-3)</f>
        <v/>
      </c>
      <c r="B45" s="15" t="n"/>
      <c r="C45" s="4" t="n"/>
      <c r="D45" s="4" t="n"/>
      <c r="E45" s="4" t="n"/>
      <c r="F45" s="15" t="n"/>
      <c r="G45" s="4" t="n"/>
      <c r="H45" s="4" t="n"/>
      <c r="I45" s="15" t="n"/>
      <c r="J45" s="15" t="n"/>
      <c r="K45" s="15" t="n"/>
      <c r="L45" s="15" t="n"/>
      <c r="M45" s="4" t="n"/>
      <c r="N45" s="15" t="n"/>
      <c r="O45" s="6">
        <f>IF(B45="","",IF(AND(K45&lt;&gt;"Yes",OR(F45="Bug",AND(F45="Observation",Config!$C$20="Yes"),AND(F45="Improvement",Config!$C$21="Yes")),OR(J45&lt;&gt;"Yes",Config!$C$22="Yes"),OR(I45&lt;&gt;"Post-release",Config!$C$23="Yes")),"Yes","No"))</f>
        <v/>
      </c>
      <c r="P45" s="4" t="n"/>
      <c r="Q45" s="4" t="n"/>
      <c r="R45" s="11" t="n"/>
    </row>
    <row r="46">
      <c r="A46" s="6">
        <f>IF(B46="","",ROW()-3)</f>
        <v/>
      </c>
      <c r="B46" s="15" t="n"/>
      <c r="C46" s="4" t="n"/>
      <c r="D46" s="4" t="n"/>
      <c r="E46" s="4" t="n"/>
      <c r="F46" s="15" t="n"/>
      <c r="G46" s="4" t="n"/>
      <c r="H46" s="4" t="n"/>
      <c r="I46" s="15" t="n"/>
      <c r="J46" s="15" t="n"/>
      <c r="K46" s="15" t="n"/>
      <c r="L46" s="15" t="n"/>
      <c r="M46" s="4" t="n"/>
      <c r="N46" s="15" t="n"/>
      <c r="O46" s="6">
        <f>IF(B46="","",IF(AND(K46&lt;&gt;"Yes",OR(F46="Bug",AND(F46="Observation",Config!$C$20="Yes"),AND(F46="Improvement",Config!$C$21="Yes")),OR(J46&lt;&gt;"Yes",Config!$C$22="Yes"),OR(I46&lt;&gt;"Post-release",Config!$C$23="Yes")),"Yes","No"))</f>
        <v/>
      </c>
      <c r="P46" s="4" t="n"/>
      <c r="Q46" s="4" t="n"/>
      <c r="R46" s="11" t="n"/>
    </row>
    <row r="47">
      <c r="A47" s="6">
        <f>IF(B47="","",ROW()-3)</f>
        <v/>
      </c>
      <c r="B47" s="15" t="n"/>
      <c r="C47" s="4" t="n"/>
      <c r="D47" s="4" t="n"/>
      <c r="E47" s="4" t="n"/>
      <c r="F47" s="15" t="n"/>
      <c r="G47" s="4" t="n"/>
      <c r="H47" s="4" t="n"/>
      <c r="I47" s="15" t="n"/>
      <c r="J47" s="15" t="n"/>
      <c r="K47" s="15" t="n"/>
      <c r="L47" s="15" t="n"/>
      <c r="M47" s="4" t="n"/>
      <c r="N47" s="15" t="n"/>
      <c r="O47" s="6">
        <f>IF(B47="","",IF(AND(K47&lt;&gt;"Yes",OR(F47="Bug",AND(F47="Observation",Config!$C$20="Yes"),AND(F47="Improvement",Config!$C$21="Yes")),OR(J47&lt;&gt;"Yes",Config!$C$22="Yes"),OR(I47&lt;&gt;"Post-release",Config!$C$23="Yes")),"Yes","No"))</f>
        <v/>
      </c>
      <c r="P47" s="4" t="n"/>
      <c r="Q47" s="4" t="n"/>
      <c r="R47" s="11" t="n"/>
    </row>
    <row r="48">
      <c r="A48" s="6">
        <f>IF(B48="","",ROW()-3)</f>
        <v/>
      </c>
      <c r="B48" s="15" t="n"/>
      <c r="C48" s="4" t="n"/>
      <c r="D48" s="4" t="n"/>
      <c r="E48" s="4" t="n"/>
      <c r="F48" s="15" t="n"/>
      <c r="G48" s="4" t="n"/>
      <c r="H48" s="4" t="n"/>
      <c r="I48" s="15" t="n"/>
      <c r="J48" s="15" t="n"/>
      <c r="K48" s="15" t="n"/>
      <c r="L48" s="15" t="n"/>
      <c r="M48" s="4" t="n"/>
      <c r="N48" s="15" t="n"/>
      <c r="O48" s="6">
        <f>IF(B48="","",IF(AND(K48&lt;&gt;"Yes",OR(F48="Bug",AND(F48="Observation",Config!$C$20="Yes"),AND(F48="Improvement",Config!$C$21="Yes")),OR(J48&lt;&gt;"Yes",Config!$C$22="Yes"),OR(I48&lt;&gt;"Post-release",Config!$C$23="Yes")),"Yes","No"))</f>
        <v/>
      </c>
      <c r="P48" s="4" t="n"/>
      <c r="Q48" s="4" t="n"/>
      <c r="R48" s="11" t="n"/>
    </row>
    <row r="49">
      <c r="A49" s="6">
        <f>IF(B49="","",ROW()-3)</f>
        <v/>
      </c>
      <c r="B49" s="15" t="n"/>
      <c r="C49" s="4" t="n"/>
      <c r="D49" s="4" t="n"/>
      <c r="E49" s="4" t="n"/>
      <c r="F49" s="15" t="n"/>
      <c r="G49" s="4" t="n"/>
      <c r="H49" s="4" t="n"/>
      <c r="I49" s="15" t="n"/>
      <c r="J49" s="15" t="n"/>
      <c r="K49" s="15" t="n"/>
      <c r="L49" s="15" t="n"/>
      <c r="M49" s="4" t="n"/>
      <c r="N49" s="15" t="n"/>
      <c r="O49" s="6">
        <f>IF(B49="","",IF(AND(K49&lt;&gt;"Yes",OR(F49="Bug",AND(F49="Observation",Config!$C$20="Yes"),AND(F49="Improvement",Config!$C$21="Yes")),OR(J49&lt;&gt;"Yes",Config!$C$22="Yes"),OR(I49&lt;&gt;"Post-release",Config!$C$23="Yes")),"Yes","No"))</f>
        <v/>
      </c>
      <c r="P49" s="4" t="n"/>
      <c r="Q49" s="4" t="n"/>
      <c r="R49" s="11" t="n"/>
    </row>
    <row r="50">
      <c r="A50" s="6">
        <f>IF(B50="","",ROW()-3)</f>
        <v/>
      </c>
      <c r="B50" s="15" t="n"/>
      <c r="C50" s="4" t="n"/>
      <c r="D50" s="4" t="n"/>
      <c r="E50" s="4" t="n"/>
      <c r="F50" s="15" t="n"/>
      <c r="G50" s="4" t="n"/>
      <c r="H50" s="4" t="n"/>
      <c r="I50" s="15" t="n"/>
      <c r="J50" s="15" t="n"/>
      <c r="K50" s="15" t="n"/>
      <c r="L50" s="15" t="n"/>
      <c r="M50" s="4" t="n"/>
      <c r="N50" s="15" t="n"/>
      <c r="O50" s="6">
        <f>IF(B50="","",IF(AND(K50&lt;&gt;"Yes",OR(F50="Bug",AND(F50="Observation",Config!$C$20="Yes"),AND(F50="Improvement",Config!$C$21="Yes")),OR(J50&lt;&gt;"Yes",Config!$C$22="Yes"),OR(I50&lt;&gt;"Post-release",Config!$C$23="Yes")),"Yes","No"))</f>
        <v/>
      </c>
      <c r="P50" s="4" t="n"/>
      <c r="Q50" s="4" t="n"/>
      <c r="R50" s="11" t="n"/>
    </row>
    <row r="51">
      <c r="A51" s="6">
        <f>IF(B51="","",ROW()-3)</f>
        <v/>
      </c>
      <c r="B51" s="15" t="n"/>
      <c r="C51" s="4" t="n"/>
      <c r="D51" s="4" t="n"/>
      <c r="E51" s="4" t="n"/>
      <c r="F51" s="15" t="n"/>
      <c r="G51" s="4" t="n"/>
      <c r="H51" s="4" t="n"/>
      <c r="I51" s="15" t="n"/>
      <c r="J51" s="15" t="n"/>
      <c r="K51" s="15" t="n"/>
      <c r="L51" s="15" t="n"/>
      <c r="M51" s="4" t="n"/>
      <c r="N51" s="15" t="n"/>
      <c r="O51" s="6">
        <f>IF(B51="","",IF(AND(K51&lt;&gt;"Yes",OR(F51="Bug",AND(F51="Observation",Config!$C$20="Yes"),AND(F51="Improvement",Config!$C$21="Yes")),OR(J51&lt;&gt;"Yes",Config!$C$22="Yes"),OR(I51&lt;&gt;"Post-release",Config!$C$23="Yes")),"Yes","No"))</f>
        <v/>
      </c>
      <c r="P51" s="4" t="n"/>
      <c r="Q51" s="4" t="n"/>
      <c r="R51" s="11" t="n"/>
    </row>
    <row r="52">
      <c r="A52" s="6">
        <f>IF(B52="","",ROW()-3)</f>
        <v/>
      </c>
      <c r="B52" s="15" t="n"/>
      <c r="C52" s="4" t="n"/>
      <c r="D52" s="4" t="n"/>
      <c r="E52" s="4" t="n"/>
      <c r="F52" s="15" t="n"/>
      <c r="G52" s="4" t="n"/>
      <c r="H52" s="4" t="n"/>
      <c r="I52" s="15" t="n"/>
      <c r="J52" s="15" t="n"/>
      <c r="K52" s="15" t="n"/>
      <c r="L52" s="15" t="n"/>
      <c r="M52" s="4" t="n"/>
      <c r="N52" s="15" t="n"/>
      <c r="O52" s="6">
        <f>IF(B52="","",IF(AND(K52&lt;&gt;"Yes",OR(F52="Bug",AND(F52="Observation",Config!$C$20="Yes"),AND(F52="Improvement",Config!$C$21="Yes")),OR(J52&lt;&gt;"Yes",Config!$C$22="Yes"),OR(I52&lt;&gt;"Post-release",Config!$C$23="Yes")),"Yes","No"))</f>
        <v/>
      </c>
      <c r="P52" s="4" t="n"/>
      <c r="Q52" s="4" t="n"/>
      <c r="R52" s="11" t="n"/>
    </row>
    <row r="53">
      <c r="A53" s="6">
        <f>IF(B53="","",ROW()-3)</f>
        <v/>
      </c>
      <c r="B53" s="15" t="n"/>
      <c r="C53" s="4" t="n"/>
      <c r="D53" s="4" t="n"/>
      <c r="E53" s="4" t="n"/>
      <c r="F53" s="15" t="n"/>
      <c r="G53" s="4" t="n"/>
      <c r="H53" s="4" t="n"/>
      <c r="I53" s="15" t="n"/>
      <c r="J53" s="15" t="n"/>
      <c r="K53" s="15" t="n"/>
      <c r="L53" s="15" t="n"/>
      <c r="M53" s="4" t="n"/>
      <c r="N53" s="15" t="n"/>
      <c r="O53" s="6">
        <f>IF(B53="","",IF(AND(K53&lt;&gt;"Yes",OR(F53="Bug",AND(F53="Observation",Config!$C$20="Yes"),AND(F53="Improvement",Config!$C$21="Yes")),OR(J53&lt;&gt;"Yes",Config!$C$22="Yes"),OR(I53&lt;&gt;"Post-release",Config!$C$23="Yes")),"Yes","No"))</f>
        <v/>
      </c>
      <c r="P53" s="4" t="n"/>
      <c r="Q53" s="4" t="n"/>
      <c r="R53" s="11" t="n"/>
    </row>
    <row r="54">
      <c r="A54" s="6">
        <f>IF(B54="","",ROW()-3)</f>
        <v/>
      </c>
      <c r="B54" s="15" t="n"/>
      <c r="C54" s="4" t="n"/>
      <c r="D54" s="4" t="n"/>
      <c r="E54" s="4" t="n"/>
      <c r="F54" s="15" t="n"/>
      <c r="G54" s="4" t="n"/>
      <c r="H54" s="4" t="n"/>
      <c r="I54" s="15" t="n"/>
      <c r="J54" s="15" t="n"/>
      <c r="K54" s="15" t="n"/>
      <c r="L54" s="15" t="n"/>
      <c r="M54" s="4" t="n"/>
      <c r="N54" s="15" t="n"/>
      <c r="O54" s="6">
        <f>IF(B54="","",IF(AND(K54&lt;&gt;"Yes",OR(F54="Bug",AND(F54="Observation",Config!$C$20="Yes"),AND(F54="Improvement",Config!$C$21="Yes")),OR(J54&lt;&gt;"Yes",Config!$C$22="Yes"),OR(I54&lt;&gt;"Post-release",Config!$C$23="Yes")),"Yes","No"))</f>
        <v/>
      </c>
      <c r="P54" s="4" t="n"/>
      <c r="Q54" s="4" t="n"/>
      <c r="R54" s="11" t="n"/>
    </row>
  </sheetData>
  <conditionalFormatting sqref="A4:R54">
    <cfRule type="expression" priority="1" dxfId="1" stopIfTrue="0">
      <formula>$K4="Yes"</formula>
    </cfRule>
    <cfRule type="expression" priority="2" dxfId="2" stopIfTrue="0">
      <formula>$I4="Post-release"</formula>
    </cfRule>
  </conditionalFormatting>
  <conditionalFormatting sqref="Q4:Q54">
    <cfRule type="expression" priority="3" dxfId="3" stopIfTrue="0">
      <formula>Q4&lt;&gt;""</formula>
    </cfRule>
  </conditionalFormatting>
  <dataValidations count="6">
    <dataValidation sqref="B4:B54" showDropDown="0" showInputMessage="0" showErrorMessage="0" allowBlank="1" type="list">
      <formula1>=Periods!$B$5:$B$200</formula1>
    </dataValidation>
    <dataValidation sqref="F4:F54" showDropDown="0" showInputMessage="0" showErrorMessage="0" allowBlank="1" type="list">
      <formula1>"Bug,Observation,Improvement,Query"</formula1>
    </dataValidation>
    <dataValidation sqref="I4:I54" showDropDown="0" showInputMessage="0" showErrorMessage="0" allowBlank="1" type="list">
      <formula1>"Pre-release,Post-release"</formula1>
    </dataValidation>
    <dataValidation sqref="J4:J54" showDropDown="0" showInputMessage="0" showErrorMessage="0" allowBlank="1" type="list">
      <formula1>"Yes,No"</formula1>
    </dataValidation>
    <dataValidation sqref="K4:K54" showDropDown="0" showInputMessage="0" showErrorMessage="0" allowBlank="1" type="list">
      <formula1>"Yes,No"</formula1>
    </dataValidation>
    <dataValidation sqref="N4:N54" showDropDown="0" showInputMessage="0" showErrorMessage="0" allowBlank="1" type="list">
      <formula1>"Fixed / Closed,Rejected,Deferred (moved out of scope),Open"</formula1>
    </dataValidation>
  </dataValidations>
  <hyperlinks>
    <hyperlink xmlns:r="http://schemas.openxmlformats.org/officeDocument/2006/relationships" ref="D4" r:id="rId1"/>
    <hyperlink xmlns:r="http://schemas.openxmlformats.org/officeDocument/2006/relationships" ref="M4" r:id="rId2"/>
    <hyperlink xmlns:r="http://schemas.openxmlformats.org/officeDocument/2006/relationships" ref="D5" r:id="rId3"/>
    <hyperlink xmlns:r="http://schemas.openxmlformats.org/officeDocument/2006/relationships" ref="M5" r:id="rId4"/>
    <hyperlink xmlns:r="http://schemas.openxmlformats.org/officeDocument/2006/relationships" ref="D6" r:id="rId5"/>
    <hyperlink xmlns:r="http://schemas.openxmlformats.org/officeDocument/2006/relationships" ref="M6" r:id="rId6"/>
    <hyperlink xmlns:r="http://schemas.openxmlformats.org/officeDocument/2006/relationships" ref="D7" r:id="rId7"/>
    <hyperlink xmlns:r="http://schemas.openxmlformats.org/officeDocument/2006/relationships" ref="M7" r:id="rId8"/>
    <hyperlink xmlns:r="http://schemas.openxmlformats.org/officeDocument/2006/relationships" ref="D8" r:id="rId9"/>
    <hyperlink xmlns:r="http://schemas.openxmlformats.org/officeDocument/2006/relationships" ref="M8" r:id="rId10"/>
    <hyperlink xmlns:r="http://schemas.openxmlformats.org/officeDocument/2006/relationships" ref="D9" r:id="rId11"/>
    <hyperlink xmlns:r="http://schemas.openxmlformats.org/officeDocument/2006/relationships" ref="M9" r:id="rId12"/>
    <hyperlink xmlns:r="http://schemas.openxmlformats.org/officeDocument/2006/relationships" ref="D10" r:id="rId13"/>
    <hyperlink xmlns:r="http://schemas.openxmlformats.org/officeDocument/2006/relationships" ref="M10" r:id="rId14"/>
    <hyperlink xmlns:r="http://schemas.openxmlformats.org/officeDocument/2006/relationships" ref="D11" r:id="rId15"/>
    <hyperlink xmlns:r="http://schemas.openxmlformats.org/officeDocument/2006/relationships" ref="M11" r:id="rId16"/>
    <hyperlink xmlns:r="http://schemas.openxmlformats.org/officeDocument/2006/relationships" ref="D12" r:id="rId17"/>
    <hyperlink xmlns:r="http://schemas.openxmlformats.org/officeDocument/2006/relationships" ref="M12" r:id="rId18"/>
    <hyperlink xmlns:r="http://schemas.openxmlformats.org/officeDocument/2006/relationships" ref="D13" r:id="rId19"/>
    <hyperlink xmlns:r="http://schemas.openxmlformats.org/officeDocument/2006/relationships" ref="M13" r:id="rId20"/>
    <hyperlink xmlns:r="http://schemas.openxmlformats.org/officeDocument/2006/relationships" ref="D14" r:id="rId21"/>
    <hyperlink xmlns:r="http://schemas.openxmlformats.org/officeDocument/2006/relationships" ref="M14" r:id="rId22"/>
  </hyperlinks>
  <pageMargins left="0.75" right="0.75" top="1" bottom="1" header="0.5" footer="0.5"/>
</worksheet>
</file>

<file path=xl/worksheets/sheet7.xml><?xml version="1.0" encoding="utf-8"?>
<worksheet xmlns="http://schemas.openxmlformats.org/spreadsheetml/2006/main">
  <sheetPr>
    <tabColor rgb="001F3864"/>
    <outlinePr summaryBelow="1" summaryRight="1"/>
    <pageSetUpPr/>
  </sheetPr>
  <dimension ref="A1:R21"/>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14" customWidth="1" min="1" max="1"/>
    <col width="4" customWidth="1" min="2" max="2"/>
    <col width="22" customWidth="1" min="3" max="3"/>
    <col width="9" customWidth="1" min="4" max="4"/>
    <col width="11" customWidth="1" min="5" max="5"/>
    <col width="12" customWidth="1" min="6" max="6"/>
    <col width="10" customWidth="1" min="7" max="7"/>
    <col width="8" customWidth="1" min="8" max="8"/>
    <col width="7" customWidth="1" min="9" max="9"/>
    <col width="16" customWidth="1" min="10" max="10"/>
    <col width="10" customWidth="1" min="11" max="11"/>
    <col width="58" customWidth="1" min="12" max="12"/>
    <col width="70" customWidth="1" min="13" max="13"/>
    <col width="70" customWidth="1" min="14" max="14"/>
    <col width="11" customWidth="1" min="15" max="15"/>
    <col width="24" customWidth="1" min="16" max="16"/>
    <col width="10" customWidth="1" min="17" max="17"/>
    <col width="30" customWidth="1" min="18" max="18"/>
  </cols>
  <sheetData>
    <row r="1">
      <c r="A1" s="1" t="inlineStr">
        <is>
          <t>KPI Summary</t>
        </is>
      </c>
    </row>
    <row r="2">
      <c r="A2" s="2" t="inlineStr">
        <is>
          <t>Edit either yellow note column. The result summary starts with suggested wording; your edits are kept. The PMS note combines the summary and context. Review items stay on Open Questions. Every push reads this sheet again before preparing the values and notes.</t>
        </is>
      </c>
    </row>
    <row r="3" ht="31.5" customHeight="1">
      <c r="A3" s="5" t="inlineStr">
        <is>
          <t>Period</t>
        </is>
      </c>
      <c r="B3" s="5" t="inlineStr">
        <is>
          <t>#</t>
        </is>
      </c>
      <c r="C3" s="5" t="inlineStr">
        <is>
          <t>KPI</t>
        </is>
      </c>
      <c r="D3" s="5" t="inlineStr">
        <is>
          <t>PMS KPI ID</t>
        </is>
      </c>
      <c r="E3" s="5" t="inlineStr">
        <is>
          <t>Numerator</t>
        </is>
      </c>
      <c r="F3" s="5" t="inlineStr">
        <is>
          <t>Denominator</t>
        </is>
      </c>
      <c r="G3" s="5" t="inlineStr">
        <is>
          <t>Value</t>
        </is>
      </c>
      <c r="H3" s="5" t="inlineStr">
        <is>
          <t>Target</t>
        </is>
      </c>
      <c r="I3" s="5" t="inlineStr">
        <is>
          <t>Min / Max</t>
        </is>
      </c>
      <c r="J3" s="5" t="inlineStr">
        <is>
          <t>Status</t>
        </is>
      </c>
      <c r="K3" s="5" t="inlineStr">
        <is>
          <t>Needs a reason?</t>
        </is>
      </c>
      <c r="L3" s="5" t="inlineStr">
        <is>
          <t>Result summary (editable)</t>
        </is>
      </c>
      <c r="M3" s="5" t="inlineStr">
        <is>
          <t>Why / context (editable)</t>
        </is>
      </c>
      <c r="N3" s="5" t="inlineStr">
        <is>
          <t>Note sent to PMS (auto, no links)</t>
        </is>
      </c>
      <c r="O3" s="5" t="inlineStr">
        <is>
          <t>Computed by the run</t>
        </is>
      </c>
      <c r="P3" s="5" t="inlineStr">
        <is>
          <t>Since the last run</t>
        </is>
      </c>
      <c r="Q3" s="5" t="inlineStr">
        <is>
          <t>Set value by hand</t>
        </is>
      </c>
      <c r="R3" s="5" t="inlineStr">
        <is>
          <t>Why set by hand</t>
        </is>
      </c>
    </row>
    <row r="4" ht="45" customHeight="1">
      <c r="A4" s="4" t="inlineStr">
        <is>
          <t>Initial Scope</t>
        </is>
      </c>
      <c r="B4" s="6" t="n">
        <v>1</v>
      </c>
      <c r="C4" s="7" t="inlineStr">
        <is>
          <t>Velocity</t>
        </is>
      </c>
      <c r="D4" s="6">
        <f>IFERROR(INDEX(Config!$D$29:$D$37,MATCH($C4,Config!$B$29:$B$37,0)),"")</f>
        <v/>
      </c>
      <c r="E4" s="8">
        <f>IF(Config!$C$18="Story Points",SUMIFS('Task Register'!$I$4:$I$999,'Task Register'!$B$4:$B$999,$A4,'Task Register'!$F$4:$F$999,"&lt;&gt;Excluded",'Task Register'!$M$4:$M$999,"&gt;0",'Task Register'!$AO$4:$AO$999,"&lt;&gt;Yes"),SUMIFS('Task Register'!$H$4:$H$999,'Task Register'!$B$4:$B$999,$A4,'Task Register'!$F$4:$F$999,"&lt;&gt;Excluded",'Task Register'!$M$4:$M$999,"&gt;0",'Task Register'!$AO$4:$AO$999,"&lt;&gt;Yes",'Task Register'!$AN$4:$AN$999,"&lt;&gt;Yes",'Task Register'!$AM$4:$AM$999,"No group")+SUMIFS('Task Register'!$H$4:$H$999,'Task Register'!$B$4:$B$999,$A4,'Task Register'!$AL$4:$AL$999,"Yes",'Task Register'!$M$4:$M$999,"&gt;0",'Task Register'!$AO$4:$AO$999,"&lt;&gt;Yes",'Task Register'!$AN$4:$AN$999,"&lt;&gt;Yes")+N(IFERROR(INDEX(Periods!$M$5:$M$200,MATCH($A4,Periods!$B$5:$B$200,0)),0)))</f>
        <v/>
      </c>
      <c r="F4" s="8" t="n"/>
      <c r="G4" s="8">
        <f>IF(Q4&lt;&gt;"",Q4,IF(OR(COUNTIFS('Task Register'!$B$4:$B$999,$A4,'Task Register'!$F$4:$F$999,"&lt;&gt;Excluded",'Task Register'!$M$4:$M$999,"&gt;0")=0,COUNTIFS('Task Register'!$B$4:$B$999,$A4,'Task Register'!$AO$4:$AO$999,"Yes")&gt;0,AND(Config!$C$18&lt;&gt;"Story Points",COUNTIFS('Task Register'!$B$4:$B$999,$A4,'Task Register'!$AN$4:$AN$999,"Yes")&gt;0)),"",ROUND(E4,2)))</f>
        <v/>
      </c>
      <c r="H4" s="8">
        <f>IFERROR(INDEX(Config!$F$29:$F$37,MATCH($C4,Config!$B$29:$B$37,0)),"")</f>
        <v/>
      </c>
      <c r="I4" s="6">
        <f>IFERROR(INDEX(Config!$E$29:$E$37,MATCH($C4,Config!$B$29:$B$37,0)),"")</f>
        <v/>
      </c>
      <c r="J4" s="6">
        <f>IF(G4="","Not measured",IF(H4="","Measured",IF(I4="Min",IF(G4&gt;=H4,"Met","Below minimum"),IF(G4&lt;=H4,"Met","Above maximum"))))</f>
        <v/>
      </c>
      <c r="K4" s="6">
        <f>IF(OR(J4="Below minimum",J4="Above maximum"),"Yes","No")</f>
        <v/>
      </c>
      <c r="L4" s="15" t="n"/>
      <c r="M4" s="15" t="n"/>
      <c r="N4" s="11">
        <f>L4&amp;IF(TRIM(M4)="","",IF(TRIM(L4)="",""," || ")&amp;TRIM(M4))</f>
        <v/>
      </c>
      <c r="O4" s="8" t="n"/>
      <c r="P4" s="11">
        <f>IF(AND(G4="",O4=""),"",IF(AND(ISNUMBER(G4),ISNUMBER(O4)),IF(ABS(G4-O4)&lt;0.006,"","Sheet says "&amp;G4&amp;", the run computed "&amp;O4&amp;". Run again before pushing."),"Changed in the sheet since the run. Run again before pushing."))</f>
        <v/>
      </c>
      <c r="Q4" s="15" t="n"/>
      <c r="R4" s="15" t="n"/>
    </row>
    <row r="5" ht="105" customHeight="1">
      <c r="A5" s="4" t="inlineStr">
        <is>
          <t>Initial Scope</t>
        </is>
      </c>
      <c r="B5" s="6" t="n">
        <v>2</v>
      </c>
      <c r="C5" s="7" t="inlineStr">
        <is>
          <t>Task Comprehension</t>
        </is>
      </c>
      <c r="D5" s="6">
        <f>IFERROR(INDEX(Config!$D$29:$D$37,MATCH($C5,Config!$B$29:$B$37,0)),"")</f>
        <v/>
      </c>
      <c r="E5" s="8">
        <f>COUNTIFS('Task Register'!$B$4:$B$999,$A5,'Task Register'!$F$4:$F$999,"&lt;&gt;Excluded",'Task Register'!$P$4:$P$999,"Yes")</f>
        <v/>
      </c>
      <c r="F5" s="8">
        <f>E5+COUNTIFS('Task Register'!$B$4:$B$999,$A5,'Task Register'!$F$4:$F$999,"&lt;&gt;Excluded",'Task Register'!$P$4:$P$999,"No")</f>
        <v/>
      </c>
      <c r="G5" s="8">
        <f>IF(Q5&lt;&gt;"",Q5,IF(N(F5)=0,"",ROUND(E5/F5*100,2)))</f>
        <v/>
      </c>
      <c r="H5" s="8">
        <f>IFERROR(INDEX(Config!$F$29:$F$37,MATCH($C5,Config!$B$29:$B$37,0)),"")</f>
        <v/>
      </c>
      <c r="I5" s="6">
        <f>IFERROR(INDEX(Config!$E$29:$E$37,MATCH($C5,Config!$B$29:$B$37,0)),"")</f>
        <v/>
      </c>
      <c r="J5" s="6">
        <f>IF(G5="","Not measured",IF(H5="","Measured",IF(I5="Min",IF(G5&gt;=H5,"Met","Below minimum"),IF(G5&lt;=H5,"Met","Above maximum"))))</f>
        <v/>
      </c>
      <c r="K5" s="6">
        <f>IF(OR(J5="Below minimum",J5="Above maximum"),"Yes","No")</f>
        <v/>
      </c>
      <c r="L5" s="15" t="inlineStr">
        <is>
          <t>The team understood 8 of the 9 assessed items without asking the client to explain the requirement (88.89%).</t>
        </is>
      </c>
      <c r="M5" s="15" t="inlineStr">
        <is>
          <t>The shared-room booking requirement did not say which booking should take priority. The client clarified that recurring bookings win. The CSV export task was blocked by unavailable staging access, which did not require an explanation of the requirement.</t>
        </is>
      </c>
      <c r="N5" s="11">
        <f>L5&amp;IF(TRIM(M5)="","",IF(TRIM(L5)="",""," || ")&amp;TRIM(M5))</f>
        <v/>
      </c>
      <c r="O5" s="8" t="n">
        <v>88.89</v>
      </c>
      <c r="P5" s="11">
        <f>IF(AND(G5="",O5=""),"",IF(AND(ISNUMBER(G5),ISNUMBER(O5)),IF(ABS(G5-O5)&lt;0.006,"","Sheet says "&amp;G5&amp;", the run computed "&amp;O5&amp;". Run again before pushing."),"Changed in the sheet since the run. Run again before pushing."))</f>
        <v/>
      </c>
      <c r="Q5" s="15" t="n"/>
      <c r="R5" s="15" t="n"/>
    </row>
    <row r="6" ht="45" customHeight="1">
      <c r="A6" s="4" t="inlineStr">
        <is>
          <t>Initial Scope</t>
        </is>
      </c>
      <c r="B6" s="6" t="n">
        <v>3</v>
      </c>
      <c r="C6" s="7" t="inlineStr">
        <is>
          <t>Client Expectation</t>
        </is>
      </c>
      <c r="D6" s="6">
        <f>IFERROR(INDEX(Config!$D$29:$D$37,MATCH($C6,Config!$B$29:$B$37,0)),"")</f>
        <v/>
      </c>
      <c r="E6" s="8">
        <f>COUNTIFS('Task Register'!$B$4:$B$999,$A6,'Task Register'!$F$4:$F$999,"&lt;&gt;Excluded",'Task Register'!$U$4:$U$999,"Yes")</f>
        <v/>
      </c>
      <c r="F6" s="8">
        <f>E6+COUNTIFS('Task Register'!$B$4:$B$999,$A6,'Task Register'!$F$4:$F$999,"&lt;&gt;Excluded",'Task Register'!$U$4:$U$999,"No")</f>
        <v/>
      </c>
      <c r="G6" s="8">
        <f>IF(Q6&lt;&gt;"",Q6,IF(N(F6)=0,"",ROUND(E6/F6*100,2)))</f>
        <v/>
      </c>
      <c r="H6" s="8">
        <f>IFERROR(INDEX(Config!$F$29:$F$37,MATCH($C6,Config!$B$29:$B$37,0)),"")</f>
        <v/>
      </c>
      <c r="I6" s="6">
        <f>IFERROR(INDEX(Config!$E$29:$E$37,MATCH($C6,Config!$B$29:$B$37,0)),"")</f>
        <v/>
      </c>
      <c r="J6" s="6">
        <f>IF(G6="","Not measured",IF(H6="","Measured",IF(I6="Min",IF(G6&gt;=H6,"Met","Below minimum"),IF(G6&lt;=H6,"Met","Above maximum"))))</f>
        <v/>
      </c>
      <c r="K6" s="6">
        <f>IF(OR(J6="Below minimum",J6="Above maximum"),"Yes","No")</f>
        <v/>
      </c>
      <c r="L6" s="15" t="inlineStr">
        <is>
          <t>All 9 items met the client's agreed deadline, each delivered by 09/11 (100%). || The cycle was handed over on 08/12.</t>
        </is>
      </c>
      <c r="M6" s="15" t="n"/>
      <c r="N6" s="11">
        <f>L6&amp;IF(TRIM(M6)="","",IF(TRIM(L6)="",""," || ")&amp;TRIM(M6))</f>
        <v/>
      </c>
      <c r="O6" s="8" t="n">
        <v>100</v>
      </c>
      <c r="P6" s="11">
        <f>IF(AND(G6="",O6=""),"",IF(AND(ISNUMBER(G6),ISNUMBER(O6)),IF(ABS(G6-O6)&lt;0.006,"","Sheet says "&amp;G6&amp;", the run computed "&amp;O6&amp;". Run again before pushing."),"Changed in the sheet since the run. Run again before pushing."))</f>
        <v/>
      </c>
      <c r="Q6" s="15" t="n"/>
      <c r="R6" s="15" t="n"/>
    </row>
    <row r="7" ht="45" customHeight="1">
      <c r="A7" s="4" t="inlineStr">
        <is>
          <t>Initial Scope</t>
        </is>
      </c>
      <c r="B7" s="6" t="n">
        <v>4</v>
      </c>
      <c r="C7" s="7" t="inlineStr">
        <is>
          <t>Delivery Commitment</t>
        </is>
      </c>
      <c r="D7" s="6">
        <f>IFERROR(INDEX(Config!$D$29:$D$37,MATCH($C7,Config!$B$29:$B$37,0)),"")</f>
        <v/>
      </c>
      <c r="E7" s="8">
        <f>COUNTIFS('Task Register'!$B$4:$B$999,$A7,'Task Register'!$F$4:$F$999,"&lt;&gt;Excluded",'Task Register'!$X$4:$X$999,"Yes")</f>
        <v/>
      </c>
      <c r="F7" s="8">
        <f>E7+COUNTIFS('Task Register'!$B$4:$B$999,$A7,'Task Register'!$F$4:$F$999,"&lt;&gt;Excluded",'Task Register'!$X$4:$X$999,"No")</f>
        <v/>
      </c>
      <c r="G7" s="8">
        <f>IF(Q7&lt;&gt;"",Q7,IF(N(F7)=0,"",ROUND(E7/F7*100,2)))</f>
        <v/>
      </c>
      <c r="H7" s="8">
        <f>IFERROR(INDEX(Config!$F$29:$F$37,MATCH($C7,Config!$B$29:$B$37,0)),"")</f>
        <v/>
      </c>
      <c r="I7" s="6">
        <f>IFERROR(INDEX(Config!$E$29:$E$37,MATCH($C7,Config!$B$29:$B$37,0)),"")</f>
        <v/>
      </c>
      <c r="J7" s="6">
        <f>IF(G7="","Not measured",IF(H7="","Measured",IF(I7="Min",IF(G7&gt;=H7,"Met","Below minimum"),IF(G7&lt;=H7,"Met","Above maximum"))))</f>
        <v/>
      </c>
      <c r="K7" s="6">
        <f>IF(OR(J7="Below minimum",J7="Above maximum"),"Yes","No")</f>
        <v/>
      </c>
      <c r="L7" s="15" t="inlineStr">
        <is>
          <t>All 9 assessed items met their recorded commitment dates by 09/11, counted on each item's delivery date (100%).</t>
        </is>
      </c>
      <c r="M7" s="15" t="n"/>
      <c r="N7" s="11">
        <f>L7&amp;IF(TRIM(M7)="","",IF(TRIM(L7)="",""," || ")&amp;TRIM(M7))</f>
        <v/>
      </c>
      <c r="O7" s="8" t="n">
        <v>100</v>
      </c>
      <c r="P7" s="11">
        <f>IF(AND(G7="",O7=""),"",IF(AND(ISNUMBER(G7),ISNUMBER(O7)),IF(ABS(G7-O7)&lt;0.006,"","Sheet says "&amp;G7&amp;", the run computed "&amp;O7&amp;". Run again before pushing."),"Changed in the sheet since the run. Run again before pushing."))</f>
        <v/>
      </c>
      <c r="Q7" s="15" t="n"/>
      <c r="R7" s="15" t="n"/>
    </row>
    <row r="8" ht="150" customHeight="1">
      <c r="A8" s="4" t="inlineStr">
        <is>
          <t>Initial Scope</t>
        </is>
      </c>
      <c r="B8" s="6" t="n">
        <v>5</v>
      </c>
      <c r="C8" s="7" t="inlineStr">
        <is>
          <t>Defect Rate</t>
        </is>
      </c>
      <c r="D8" s="6">
        <f>IFERROR(INDEX(Config!$D$29:$D$37,MATCH($C8,Config!$B$29:$B$37,0)),"")</f>
        <v/>
      </c>
      <c r="E8" s="8">
        <f>COUNTIFS('Defect Register'!$B$4:$B$999,$A8,'Defect Register'!$O$4:$O$999,"Yes")</f>
        <v/>
      </c>
      <c r="F8" s="8">
        <f>COUNTIFS('Task Register'!$B$4:$B$999,$A8,'Task Register'!$F$4:$F$999,"&lt;&gt;Excluded",'Task Register'!$M$4:$M$999,"&gt;0")</f>
        <v/>
      </c>
      <c r="G8" s="8">
        <f>IF(Q8&lt;&gt;"",Q8,IF(N(F8)=0,"",ROUND(E8/F8*100,2)))</f>
        <v/>
      </c>
      <c r="H8" s="8">
        <f>IFERROR(INDEX(Config!$F$29:$F$37,MATCH($C8,Config!$B$29:$B$37,0)),"")</f>
        <v/>
      </c>
      <c r="I8" s="6">
        <f>IFERROR(INDEX(Config!$E$29:$E$37,MATCH($C8,Config!$B$29:$B$37,0)),"")</f>
        <v/>
      </c>
      <c r="J8" s="6">
        <f>IF(G8="","Not measured",IF(H8="","Measured",IF(I8="Min",IF(G8&gt;=H8,"Met","Below minimum"),IF(G8&lt;=H8,"Met","Above maximum"))))</f>
        <v/>
      </c>
      <c r="K8" s="6">
        <f>IF(OR(J8="Below minimum",J8="Above maximum"),"Yes","No")</f>
        <v/>
      </c>
      <c r="L8" s="15" t="inlineStr">
        <is>
          <t>3 defects were reported against 9 delivered tickets. That is 33.33 defects per 100 delivered tickets (33.33%). One ticket can have several defects, so this is not the percentage of tickets with a problem. || Another 6 reports were not counted: 3 that were already in the product, 1 observation, 1 improvement and 1 closed as not a bug.</t>
        </is>
      </c>
      <c r="M8" s="15" t="inlineStr">
        <is>
          <t>The included reports concern recurring-booking warnings, filter retention and the export date filter. Existing issues, suggestions and the rejected test-harness report remain visible in the register under the agreed exclusions.</t>
        </is>
      </c>
      <c r="N8" s="11">
        <f>L8&amp;IF(TRIM(M8)="","",IF(TRIM(L8)="",""," || ")&amp;TRIM(M8))</f>
        <v/>
      </c>
      <c r="O8" s="8" t="n">
        <v>33.33</v>
      </c>
      <c r="P8" s="11">
        <f>IF(AND(G8="",O8=""),"",IF(AND(ISNUMBER(G8),ISNUMBER(O8)),IF(ABS(G8-O8)&lt;0.006,"","Sheet says "&amp;G8&amp;", the run computed "&amp;O8&amp;". Run again before pushing."),"Changed in the sheet since the run. Run again before pushing."))</f>
        <v/>
      </c>
      <c r="Q8" s="15" t="n"/>
      <c r="R8" s="15" t="n"/>
    </row>
    <row r="9" ht="105" customHeight="1">
      <c r="A9" s="4" t="inlineStr">
        <is>
          <t>Initial Scope</t>
        </is>
      </c>
      <c r="B9" s="6" t="n">
        <v>6</v>
      </c>
      <c r="C9" s="7" t="inlineStr">
        <is>
          <t>Escaped Defect Rate</t>
        </is>
      </c>
      <c r="D9" s="6">
        <f>IFERROR(INDEX(Config!$D$29:$D$37,MATCH($C9,Config!$B$29:$B$37,0)),"")</f>
        <v/>
      </c>
      <c r="E9" s="8">
        <f>COUNTIFS('Defect Register'!$B$4:$B$999,$A9,'Defect Register'!$K$4:$K$999,"&lt;&gt;Yes",'Defect Register'!$I$4:$I$999,"Post-release")</f>
        <v/>
      </c>
      <c r="F9" s="8">
        <f>COUNTIFS('Defect Register'!$B$4:$B$999,$A9,'Defect Register'!$K$4:$K$999,"&lt;&gt;Yes")</f>
        <v/>
      </c>
      <c r="G9" s="8">
        <f>IF(Q9&lt;&gt;"",Q9,IF(OR(N(F9)=0,N(IFERROR(INDEX(Periods!$H$5:$H$200,MATCH($A9,Periods!$B$5:$B$200,0)),0))=0),"",ROUND(E9/F9*100,2)))</f>
        <v/>
      </c>
      <c r="H9" s="8">
        <f>IFERROR(INDEX(Config!$F$29:$F$37,MATCH($C9,Config!$B$29:$B$37,0)),"")</f>
        <v/>
      </c>
      <c r="I9" s="6">
        <f>IFERROR(INDEX(Config!$E$29:$E$37,MATCH($C9,Config!$B$29:$B$37,0)),"")</f>
        <v/>
      </c>
      <c r="J9" s="6">
        <f>IF(G9="","Not measured",IF(H9="","Measured",IF(I9="Min",IF(G9&gt;=H9,"Met","Below minimum"),IF(G9&lt;=H9,"Met","Above maximum"))))</f>
        <v/>
      </c>
      <c r="K9" s="6">
        <f>IF(OR(J9="Below minimum",J9="Above maximum"),"Yes","No")</f>
        <v/>
      </c>
      <c r="L9" s="15" t="inlineStr">
        <is>
          <t>The client found 1 of the 8 valid issues after handover (12.5%). || The cycle was handed over on 08/12. || 1 rejected report is excluded from both counts because it was not accepted as a defect.</t>
        </is>
      </c>
      <c r="M9" s="15" t="inlineStr">
        <is>
          <t>After the 08/12 handover, the client reported that the CSV export ignored its date filter. The report was closed on 08/25.</t>
        </is>
      </c>
      <c r="N9" s="11">
        <f>L9&amp;IF(TRIM(M9)="","",IF(TRIM(L9)="",""," || ")&amp;TRIM(M9))</f>
        <v/>
      </c>
      <c r="O9" s="8" t="n">
        <v>12.5</v>
      </c>
      <c r="P9" s="11">
        <f>IF(AND(G9="",O9=""),"",IF(AND(ISNUMBER(G9),ISNUMBER(O9)),IF(ABS(G9-O9)&lt;0.006,"","Sheet says "&amp;G9&amp;", the run computed "&amp;O9&amp;". Run again before pushing."),"Changed in the sheet since the run. Run again before pushing."))</f>
        <v/>
      </c>
      <c r="Q9" s="15" t="n"/>
      <c r="R9" s="15" t="n"/>
    </row>
    <row r="10" ht="75" customHeight="1">
      <c r="A10" s="4" t="inlineStr">
        <is>
          <t>Initial Scope</t>
        </is>
      </c>
      <c r="B10" s="6" t="n">
        <v>7</v>
      </c>
      <c r="C10" s="7" t="inlineStr">
        <is>
          <t>Defect Rejection Rate</t>
        </is>
      </c>
      <c r="D10" s="6">
        <f>IFERROR(INDEX(Config!$D$29:$D$37,MATCH($C10,Config!$B$29:$B$37,0)),"")</f>
        <v/>
      </c>
      <c r="E10" s="8">
        <f>COUNTIFS('Defect Register'!$B$4:$B$999,$A10,'Defect Register'!$K$4:$K$999,"Yes")</f>
        <v/>
      </c>
      <c r="F10" s="8">
        <f>COUNTIFS('Defect Register'!$B$4:$B$999,$A10)</f>
        <v/>
      </c>
      <c r="G10" s="8">
        <f>IF(Q10&lt;&gt;"",Q10,IF(N(F10)=0,"",ROUND(E10/F10*100,2)))</f>
        <v/>
      </c>
      <c r="H10" s="8">
        <f>IFERROR(INDEX(Config!$F$29:$F$37,MATCH($C10,Config!$B$29:$B$37,0)),"")</f>
        <v/>
      </c>
      <c r="I10" s="6">
        <f>IFERROR(INDEX(Config!$E$29:$E$37,MATCH($C10,Config!$B$29:$B$37,0)),"")</f>
        <v/>
      </c>
      <c r="J10" s="6">
        <f>IF(G10="","Not measured",IF(H10="","Measured",IF(I10="Min",IF(G10&gt;=H10,"Met","Below minimum"),IF(G10&lt;=H10,"Met","Above maximum"))))</f>
        <v/>
      </c>
      <c r="K10" s="6">
        <f>IF(OR(J10="Below minimum",J10="Above maximum"),"Yes","No")</f>
        <v/>
      </c>
      <c r="L10" s="15" t="inlineStr">
        <is>
          <t>1 of the 9 reports turned out not to be a bug (11.11%). || It was closed as rejected.</t>
        </is>
      </c>
      <c r="M10" s="15" t="inlineStr">
        <is>
          <t>The duplicate-email report came from the test harness rather than the product, so it was rejected. The decision is recorded in the report's comment.</t>
        </is>
      </c>
      <c r="N10" s="11">
        <f>L10&amp;IF(TRIM(M10)="","",IF(TRIM(L10)="",""," || ")&amp;TRIM(M10))</f>
        <v/>
      </c>
      <c r="O10" s="8" t="n">
        <v>11.11</v>
      </c>
      <c r="P10" s="11">
        <f>IF(AND(G10="",O10=""),"",IF(AND(ISNUMBER(G10),ISNUMBER(O10)),IF(ABS(G10-O10)&lt;0.006,"","Sheet says "&amp;G10&amp;", the run computed "&amp;O10&amp;". Run again before pushing."),"Changed in the sheet since the run. Run again before pushing."))</f>
        <v/>
      </c>
      <c r="Q10" s="15" t="n"/>
      <c r="R10" s="15" t="n"/>
    </row>
    <row r="11" ht="150" customHeight="1">
      <c r="A11" s="4" t="inlineStr">
        <is>
          <t>Initial Scope</t>
        </is>
      </c>
      <c r="B11" s="6" t="n">
        <v>8</v>
      </c>
      <c r="C11" s="7" t="inlineStr">
        <is>
          <t>Rework Rate</t>
        </is>
      </c>
      <c r="D11" s="6">
        <f>IFERROR(INDEX(Config!$D$29:$D$37,MATCH($C11,Config!$B$29:$B$37,0)),"")</f>
        <v/>
      </c>
      <c r="E11" s="8">
        <f>SUMIFS('Task Register'!$Z$4:$Z$999,'Task Register'!$B$4:$B$999,$A11,'Task Register'!$F$4:$F$999,"&lt;&gt;Excluded",'Task Register'!$M$4:$M$999,"&gt;0",'Task Register'!$AP$4:$AP$999,"&gt;0",'Task Register'!$AL$4:$AL$999,"&lt;&gt;Yes",'Task Register'!$Y$4:$Y$999,"Yes")</f>
        <v/>
      </c>
      <c r="F11" s="8">
        <f>COUNTIFS('Task Register'!$B$4:$B$999,$A11,'Task Register'!$F$4:$F$999,"&lt;&gt;Excluded",'Task Register'!$M$4:$M$999,"&gt;0",'Task Register'!$AP$4:$AP$999,"&gt;0",'Task Register'!$AL$4:$AL$999,"&lt;&gt;Yes",'Task Register'!$Y$4:$Y$999,"Yes")+COUNTIFS('Task Register'!$B$4:$B$999,$A11,'Task Register'!$F$4:$F$999,"&lt;&gt;Excluded",'Task Register'!$M$4:$M$999,"&gt;0",'Task Register'!$AP$4:$AP$999,"&gt;0",'Task Register'!$AL$4:$AL$999,"&lt;&gt;Yes",'Task Register'!$Y$4:$Y$999,"No")</f>
        <v/>
      </c>
      <c r="G11" s="8">
        <f>IF(Q11&lt;&gt;"",Q11,IF(N(F11)=0,"",ROUND(E11/F11*100,2)))</f>
        <v/>
      </c>
      <c r="H11" s="8">
        <f>IFERROR(INDEX(Config!$F$29:$F$37,MATCH($C11,Config!$B$29:$B$37,0)),"")</f>
        <v/>
      </c>
      <c r="I11" s="6">
        <f>IFERROR(INDEX(Config!$E$29:$E$37,MATCH($C11,Config!$B$29:$B$37,0)),"")</f>
        <v/>
      </c>
      <c r="J11" s="6">
        <f>IF(G11="","Not measured",IF(H11="","Measured",IF(I11="Min",IF(G11&gt;=H11,"Met","Below minimum"),IF(G11&lt;=H11,"Met","Above maximum"))))</f>
        <v/>
      </c>
      <c r="K11" s="6">
        <f>IF(OR(J11="Below minimum",J11="Above maximum"),"Yes","No")</f>
        <v/>
      </c>
      <c r="L11" s="15" t="inlineStr">
        <is>
          <t>1 reopening event was recorded across the 8 completed tasks (12.5%). || 2 tasks failed QA while still being tested for the first time. That is normal testing rather than rework, so they are not counted here. || Those events affected 1 ticket; each return after another close is counted separately.</t>
        </is>
      </c>
      <c r="M11" s="15" t="inlineStr">
        <is>
          <t>The saved-filter task passed QA on 08/04 and reopened on 08/07 when a tablet restart exposed the reset. It returned to closed on 08/11. The other two QA failures occurred before their first closure and remain ordinary testing.</t>
        </is>
      </c>
      <c r="N11" s="11">
        <f>L11&amp;IF(TRIM(M11)="","",IF(TRIM(L11)="",""," || ")&amp;TRIM(M11))</f>
        <v/>
      </c>
      <c r="O11" s="8" t="n">
        <v>12.5</v>
      </c>
      <c r="P11" s="11">
        <f>IF(AND(G11="",O11=""),"",IF(AND(ISNUMBER(G11),ISNUMBER(O11)),IF(ABS(G11-O11)&lt;0.006,"","Sheet says "&amp;G11&amp;", the run computed "&amp;O11&amp;". Run again before pushing."),"Changed in the sheet since the run. Run again before pushing."))</f>
        <v/>
      </c>
      <c r="Q11" s="15" t="n"/>
      <c r="R11" s="15" t="n"/>
    </row>
    <row r="12" ht="90" customHeight="1">
      <c r="A12" s="4" t="inlineStr">
        <is>
          <t>Initial Scope</t>
        </is>
      </c>
      <c r="B12" s="6" t="n">
        <v>9</v>
      </c>
      <c r="C12" s="7" t="inlineStr">
        <is>
          <t>CR Rate</t>
        </is>
      </c>
      <c r="D12" s="6">
        <f>IFERROR(INDEX(Config!$D$29:$D$37,MATCH($C12,Config!$B$29:$B$37,0)),"")</f>
        <v/>
      </c>
      <c r="E12" s="8">
        <f>COUNTIFS('Task Register'!$B$4:$B$999,$A12,'Task Register'!$F$4:$F$999,"CR")</f>
        <v/>
      </c>
      <c r="F12" s="8">
        <f>IF(OR(Config!$C$25="Whole project",COUNTIFS('Task Register'!$B$4:$B$999,$A12,'Task Register'!$F$4:$F$999,"Task")=0),COUNTIFS('Task Register'!$F$4:$F$999,"Task"),COUNTIFS('Task Register'!$B$4:$B$999,$A12,'Task Register'!$F$4:$F$999,"Task"))</f>
        <v/>
      </c>
      <c r="G12" s="8">
        <f>IF(Q12&lt;&gt;"",Q12,IF(N(F12)=0,"",ROUND(E12/F12*100,2)))</f>
        <v/>
      </c>
      <c r="H12" s="8">
        <f>IFERROR(INDEX(Config!$F$29:$F$37,MATCH($C12,Config!$B$29:$B$37,0)),"")</f>
        <v/>
      </c>
      <c r="I12" s="6">
        <f>IFERROR(INDEX(Config!$E$29:$E$37,MATCH($C12,Config!$B$29:$B$37,0)),"")</f>
        <v/>
      </c>
      <c r="J12" s="6">
        <f>IF(G12="","Not measured",IF(H12="","Measured",IF(I12="Min",IF(G12&gt;=H12,"Met","Below minimum"),IF(G12&lt;=H12,"Met","Above maximum"))))</f>
        <v/>
      </c>
      <c r="K12" s="6">
        <f>IF(OR(J12="Below minimum",J12="Above maximum"),"Yes","No")</f>
        <v/>
      </c>
      <c r="L12" s="15" t="inlineStr">
        <is>
          <t>The client added 2 Additional Requests on top of the 7 planned items (28.57%).</t>
        </is>
      </c>
      <c r="M12" s="15" t="inlineStr">
        <is>
          <t>Single sign-on repair and extra room-profile fields were approved on 07/31 and 08/10 in the fictional estimates table. They are recorded as Additional Requests rather than silently added to the original plan.</t>
        </is>
      </c>
      <c r="N12" s="11">
        <f>L12&amp;IF(TRIM(M12)="","",IF(TRIM(L12)="",""," || ")&amp;TRIM(M12))</f>
        <v/>
      </c>
      <c r="O12" s="8" t="n">
        <v>28.57</v>
      </c>
      <c r="P12" s="11">
        <f>IF(AND(G12="",O12=""),"",IF(AND(ISNUMBER(G12),ISNUMBER(O12)),IF(ABS(G12-O12)&lt;0.006,"","Sheet says "&amp;G12&amp;", the run computed "&amp;O12&amp;". Run again before pushing."),"Changed in the sheet since the run. Run again before pushing."))</f>
        <v/>
      </c>
      <c r="Q12" s="15" t="n"/>
      <c r="R12" s="15" t="n"/>
    </row>
    <row r="13" ht="90" customHeight="1">
      <c r="A13" s="4" t="inlineStr">
        <is>
          <t>Additional Requests 1</t>
        </is>
      </c>
      <c r="B13" s="6" t="n">
        <v>1</v>
      </c>
      <c r="C13" s="7" t="inlineStr">
        <is>
          <t>Velocity</t>
        </is>
      </c>
      <c r="D13" s="6">
        <f>IFERROR(INDEX(Config!$D$29:$D$37,MATCH($C13,Config!$B$29:$B$37,0)),"")</f>
        <v/>
      </c>
      <c r="E13" s="8">
        <f>IF(Config!$C$18="Story Points",SUMIFS('Task Register'!$I$4:$I$999,'Task Register'!$B$4:$B$999,$A13,'Task Register'!$F$4:$F$999,"&lt;&gt;Excluded",'Task Register'!$M$4:$M$999,"&gt;0",'Task Register'!$AO$4:$AO$999,"&lt;&gt;Yes"),SUMIFS('Task Register'!$H$4:$H$999,'Task Register'!$B$4:$B$999,$A13,'Task Register'!$F$4:$F$999,"&lt;&gt;Excluded",'Task Register'!$M$4:$M$999,"&gt;0",'Task Register'!$AO$4:$AO$999,"&lt;&gt;Yes",'Task Register'!$AN$4:$AN$999,"&lt;&gt;Yes",'Task Register'!$AM$4:$AM$999,"No group")+SUMIFS('Task Register'!$H$4:$H$999,'Task Register'!$B$4:$B$999,$A13,'Task Register'!$AL$4:$AL$999,"Yes",'Task Register'!$M$4:$M$999,"&gt;0",'Task Register'!$AO$4:$AO$999,"&lt;&gt;Yes",'Task Register'!$AN$4:$AN$999,"&lt;&gt;Yes")+N(IFERROR(INDEX(Periods!$M$5:$M$200,MATCH($A13,Periods!$B$5:$B$200,0)),0)))</f>
        <v/>
      </c>
      <c r="F13" s="8" t="n"/>
      <c r="G13" s="8">
        <f>IF(Q13&lt;&gt;"",Q13,IF(OR(COUNTIFS('Task Register'!$B$4:$B$999,$A13,'Task Register'!$F$4:$F$999,"&lt;&gt;Excluded",'Task Register'!$M$4:$M$999,"&gt;0")=0,COUNTIFS('Task Register'!$B$4:$B$999,$A13,'Task Register'!$AO$4:$AO$999,"Yes")&gt;0,AND(Config!$C$18&lt;&gt;"Story Points",COUNTIFS('Task Register'!$B$4:$B$999,$A13,'Task Register'!$AN$4:$AN$999,"Yes")&gt;0)),"",ROUND(E13,2)))</f>
        <v/>
      </c>
      <c r="H13" s="8">
        <f>IFERROR(INDEX(Config!$F$29:$F$37,MATCH($C13,Config!$B$29:$B$37,0)),"")</f>
        <v/>
      </c>
      <c r="I13" s="6">
        <f>IFERROR(INDEX(Config!$E$29:$E$37,MATCH($C13,Config!$B$29:$B$37,0)),"")</f>
        <v/>
      </c>
      <c r="J13" s="6">
        <f>IF(G13="","Not measured",IF(H13="","Measured",IF(I13="Min",IF(G13&gt;=H13,"Met","Below minimum"),IF(G13&lt;=H13,"Met","Above maximum"))))</f>
        <v/>
      </c>
      <c r="K13" s="6">
        <f>IF(OR(J13="Below minimum",J13="Above maximum"),"Yes","No")</f>
        <v/>
      </c>
      <c r="L13" s="15" t="inlineStr">
        <is>
          <t>Delivered work represents 62 estimated hours in this cycle, across 2 delivered items. || That is 56 hours of development and 6 hours of QA.</t>
        </is>
      </c>
      <c r="M13" s="15" t="inlineStr">
        <is>
          <t>Both development items reached QA. The reminder-email item also completed QA; the calendar-sync item had not, so its QA estimate is not yet credited.</t>
        </is>
      </c>
      <c r="N13" s="11">
        <f>L13&amp;IF(TRIM(M13)="","",IF(TRIM(L13)="",""," || ")&amp;TRIM(M13))</f>
        <v/>
      </c>
      <c r="O13" s="8" t="n">
        <v>62</v>
      </c>
      <c r="P13" s="11">
        <f>IF(AND(G13="",O13=""),"",IF(AND(ISNUMBER(G13),ISNUMBER(O13)),IF(ABS(G13-O13)&lt;0.006,"","Sheet says "&amp;G13&amp;", the run computed "&amp;O13&amp;". Run again before pushing."),"Changed in the sheet since the run. Run again before pushing."))</f>
        <v/>
      </c>
      <c r="Q13" s="15" t="n"/>
      <c r="R13" s="15" t="n"/>
    </row>
    <row r="14" ht="45" customHeight="1">
      <c r="A14" s="4" t="inlineStr">
        <is>
          <t>Additional Requests 1</t>
        </is>
      </c>
      <c r="B14" s="6" t="n">
        <v>2</v>
      </c>
      <c r="C14" s="7" t="inlineStr">
        <is>
          <t>Task Comprehension</t>
        </is>
      </c>
      <c r="D14" s="6">
        <f>IFERROR(INDEX(Config!$D$29:$D$37,MATCH($C14,Config!$B$29:$B$37,0)),"")</f>
        <v/>
      </c>
      <c r="E14" s="8">
        <f>COUNTIFS('Task Register'!$B$4:$B$999,$A14,'Task Register'!$F$4:$F$999,"&lt;&gt;Excluded",'Task Register'!$P$4:$P$999,"Yes")</f>
        <v/>
      </c>
      <c r="F14" s="8">
        <f>E14+COUNTIFS('Task Register'!$B$4:$B$999,$A14,'Task Register'!$F$4:$F$999,"&lt;&gt;Excluded",'Task Register'!$P$4:$P$999,"No")</f>
        <v/>
      </c>
      <c r="G14" s="8">
        <f>IF(Q14&lt;&gt;"",Q14,IF(N(F14)=0,"",ROUND(E14/F14*100,2)))</f>
        <v/>
      </c>
      <c r="H14" s="8">
        <f>IFERROR(INDEX(Config!$F$29:$F$37,MATCH($C14,Config!$B$29:$B$37,0)),"")</f>
        <v/>
      </c>
      <c r="I14" s="6">
        <f>IFERROR(INDEX(Config!$E$29:$E$37,MATCH($C14,Config!$B$29:$B$37,0)),"")</f>
        <v/>
      </c>
      <c r="J14" s="6">
        <f>IF(G14="","Not measured",IF(H14="","Measured",IF(I14="Min",IF(G14&gt;=H14,"Met","Below minimum"),IF(G14&lt;=H14,"Met","Above maximum"))))</f>
        <v/>
      </c>
      <c r="K14" s="6">
        <f>IF(OR(J14="Below minimum",J14="Above maximum"),"Yes","No")</f>
        <v/>
      </c>
      <c r="L14" s="15" t="inlineStr">
        <is>
          <t>The team understood all 2 items without asking the client to explain the requirement (100%).</t>
        </is>
      </c>
      <c r="M14" s="15" t="n"/>
      <c r="N14" s="11">
        <f>L14&amp;IF(TRIM(M14)="","",IF(TRIM(L14)="",""," || ")&amp;TRIM(M14))</f>
        <v/>
      </c>
      <c r="O14" s="8" t="n">
        <v>100</v>
      </c>
      <c r="P14" s="11">
        <f>IF(AND(G14="",O14=""),"",IF(AND(ISNUMBER(G14),ISNUMBER(O14)),IF(ABS(G14-O14)&lt;0.006,"","Sheet says "&amp;G14&amp;", the run computed "&amp;O14&amp;". Run again before pushing."),"Changed in the sheet since the run. Run again before pushing."))</f>
        <v/>
      </c>
      <c r="Q14" s="15" t="n"/>
      <c r="R14" s="15" t="n"/>
    </row>
    <row r="15" ht="60" customHeight="1">
      <c r="A15" s="4" t="inlineStr">
        <is>
          <t>Additional Requests 1</t>
        </is>
      </c>
      <c r="B15" s="6" t="n">
        <v>3</v>
      </c>
      <c r="C15" s="7" t="inlineStr">
        <is>
          <t>Client Expectation</t>
        </is>
      </c>
      <c r="D15" s="6">
        <f>IFERROR(INDEX(Config!$D$29:$D$37,MATCH($C15,Config!$B$29:$B$37,0)),"")</f>
        <v/>
      </c>
      <c r="E15" s="8">
        <f>COUNTIFS('Task Register'!$B$4:$B$999,$A15,'Task Register'!$F$4:$F$999,"&lt;&gt;Excluded",'Task Register'!$U$4:$U$999,"Yes")</f>
        <v/>
      </c>
      <c r="F15" s="8">
        <f>E15+COUNTIFS('Task Register'!$B$4:$B$999,$A15,'Task Register'!$F$4:$F$999,"&lt;&gt;Excluded",'Task Register'!$U$4:$U$999,"No")</f>
        <v/>
      </c>
      <c r="G15" s="8">
        <f>IF(Q15&lt;&gt;"",Q15,IF(N(F15)=0,"",ROUND(E15/F15*100,2)))</f>
        <v/>
      </c>
      <c r="H15" s="8">
        <f>IFERROR(INDEX(Config!$F$29:$F$37,MATCH($C15,Config!$B$29:$B$37,0)),"")</f>
        <v/>
      </c>
      <c r="I15" s="6">
        <f>IFERROR(INDEX(Config!$E$29:$E$37,MATCH($C15,Config!$B$29:$B$37,0)),"")</f>
        <v/>
      </c>
      <c r="J15" s="6">
        <f>IF(G15="","Not measured",IF(H15="","Measured",IF(I15="Min",IF(G15&gt;=H15,"Met","Below minimum"),IF(G15&lt;=H15,"Met","Above maximum"))))</f>
        <v/>
      </c>
      <c r="K15" s="6">
        <f>IF(OR(J15="Below minimum",J15="Above maximum"),"Yes","No")</f>
        <v/>
      </c>
      <c r="L15" s="15" t="inlineStr">
        <is>
          <t>All 2 items met the client's agreed deadline, each delivered by 09/11 (100%). || The cycle has not been handed over to the client yet.</t>
        </is>
      </c>
      <c r="M15" s="15" t="n"/>
      <c r="N15" s="11">
        <f>L15&amp;IF(TRIM(M15)="","",IF(TRIM(L15)="",""," || ")&amp;TRIM(M15))</f>
        <v/>
      </c>
      <c r="O15" s="8" t="n">
        <v>100</v>
      </c>
      <c r="P15" s="11">
        <f>IF(AND(G15="",O15=""),"",IF(AND(ISNUMBER(G15),ISNUMBER(O15)),IF(ABS(G15-O15)&lt;0.006,"","Sheet says "&amp;G15&amp;", the run computed "&amp;O15&amp;". Run again before pushing."),"Changed in the sheet since the run. Run again before pushing."))</f>
        <v/>
      </c>
      <c r="Q15" s="15" t="n"/>
      <c r="R15" s="15" t="n"/>
    </row>
    <row r="16" ht="45" customHeight="1">
      <c r="A16" s="4" t="inlineStr">
        <is>
          <t>Additional Requests 1</t>
        </is>
      </c>
      <c r="B16" s="6" t="n">
        <v>4</v>
      </c>
      <c r="C16" s="7" t="inlineStr">
        <is>
          <t>Delivery Commitment</t>
        </is>
      </c>
      <c r="D16" s="6">
        <f>IFERROR(INDEX(Config!$D$29:$D$37,MATCH($C16,Config!$B$29:$B$37,0)),"")</f>
        <v/>
      </c>
      <c r="E16" s="8">
        <f>COUNTIFS('Task Register'!$B$4:$B$999,$A16,'Task Register'!$F$4:$F$999,"&lt;&gt;Excluded",'Task Register'!$X$4:$X$999,"Yes")</f>
        <v/>
      </c>
      <c r="F16" s="8">
        <f>E16+COUNTIFS('Task Register'!$B$4:$B$999,$A16,'Task Register'!$F$4:$F$999,"&lt;&gt;Excluded",'Task Register'!$X$4:$X$999,"No")</f>
        <v/>
      </c>
      <c r="G16" s="8">
        <f>IF(Q16&lt;&gt;"",Q16,IF(N(F16)=0,"",ROUND(E16/F16*100,2)))</f>
        <v/>
      </c>
      <c r="H16" s="8">
        <f>IFERROR(INDEX(Config!$F$29:$F$37,MATCH($C16,Config!$B$29:$B$37,0)),"")</f>
        <v/>
      </c>
      <c r="I16" s="6">
        <f>IFERROR(INDEX(Config!$E$29:$E$37,MATCH($C16,Config!$B$29:$B$37,0)),"")</f>
        <v/>
      </c>
      <c r="J16" s="6">
        <f>IF(G16="","Not measured",IF(H16="","Measured",IF(I16="Min",IF(G16&gt;=H16,"Met","Below minimum"),IF(G16&lt;=H16,"Met","Above maximum"))))</f>
        <v/>
      </c>
      <c r="K16" s="6">
        <f>IF(OR(J16="Below minimum",J16="Above maximum"),"Yes","No")</f>
        <v/>
      </c>
      <c r="L16" s="15" t="inlineStr">
        <is>
          <t>All 2 assessed items met their recorded commitment dates by 09/11, counted on each item's delivery date (100%).</t>
        </is>
      </c>
      <c r="M16" s="15" t="n"/>
      <c r="N16" s="11">
        <f>L16&amp;IF(TRIM(M16)="","",IF(TRIM(L16)="",""," || ")&amp;TRIM(M16))</f>
        <v/>
      </c>
      <c r="O16" s="8" t="n">
        <v>100</v>
      </c>
      <c r="P16" s="11">
        <f>IF(AND(G16="",O16=""),"",IF(AND(ISNUMBER(G16),ISNUMBER(O16)),IF(ABS(G16-O16)&lt;0.006,"","Sheet says "&amp;G16&amp;", the run computed "&amp;O16&amp;". Run again before pushing."),"Changed in the sheet since the run. Run again before pushing."))</f>
        <v/>
      </c>
      <c r="Q16" s="15" t="n"/>
      <c r="R16" s="15" t="n"/>
    </row>
    <row r="17" ht="105" customHeight="1">
      <c r="A17" s="4" t="inlineStr">
        <is>
          <t>Additional Requests 1</t>
        </is>
      </c>
      <c r="B17" s="6" t="n">
        <v>5</v>
      </c>
      <c r="C17" s="7" t="inlineStr">
        <is>
          <t>Defect Rate</t>
        </is>
      </c>
      <c r="D17" s="6">
        <f>IFERROR(INDEX(Config!$D$29:$D$37,MATCH($C17,Config!$B$29:$B$37,0)),"")</f>
        <v/>
      </c>
      <c r="E17" s="8">
        <f>COUNTIFS('Defect Register'!$B$4:$B$999,$A17,'Defect Register'!$O$4:$O$999,"Yes")</f>
        <v/>
      </c>
      <c r="F17" s="8">
        <f>COUNTIFS('Task Register'!$B$4:$B$999,$A17,'Task Register'!$F$4:$F$999,"&lt;&gt;Excluded",'Task Register'!$M$4:$M$999,"&gt;0")</f>
        <v/>
      </c>
      <c r="G17" s="8">
        <f>IF(Q17&lt;&gt;"",Q17,IF(N(F17)=0,"",ROUND(E17/F17*100,2)))</f>
        <v/>
      </c>
      <c r="H17" s="8">
        <f>IFERROR(INDEX(Config!$F$29:$F$37,MATCH($C17,Config!$B$29:$B$37,0)),"")</f>
        <v/>
      </c>
      <c r="I17" s="6">
        <f>IFERROR(INDEX(Config!$E$29:$E$37,MATCH($C17,Config!$B$29:$B$37,0)),"")</f>
        <v/>
      </c>
      <c r="J17" s="6">
        <f>IF(G17="","Not measured",IF(H17="","Measured",IF(I17="Min",IF(G17&gt;=H17,"Met","Below minimum"),IF(G17&lt;=H17,"Met","Above maximum"))))</f>
        <v/>
      </c>
      <c r="K17" s="6">
        <f>IF(OR(J17="Below minimum",J17="Above maximum"),"Yes","No")</f>
        <v/>
      </c>
      <c r="L17" s="15" t="inlineStr">
        <is>
          <t>2 defects were reported against 2 delivered tickets. That is 100 defects per 100 delivered tickets (100%). One ticket can have several defects, so this is not the percentage of tickets with a problem.</t>
        </is>
      </c>
      <c r="M17" s="15" t="inlineStr">
        <is>
          <t>The reports concern a wrong room in a reminder email and cancelled bookings remaining after synchronization. The latter remained open at the sample reporting date.</t>
        </is>
      </c>
      <c r="N17" s="11">
        <f>L17&amp;IF(TRIM(M17)="","",IF(TRIM(L17)="",""," || ")&amp;TRIM(M17))</f>
        <v/>
      </c>
      <c r="O17" s="8" t="n">
        <v>100</v>
      </c>
      <c r="P17" s="11">
        <f>IF(AND(G17="",O17=""),"",IF(AND(ISNUMBER(G17),ISNUMBER(O17)),IF(ABS(G17-O17)&lt;0.006,"","Sheet says "&amp;G17&amp;", the run computed "&amp;O17&amp;". Run again before pushing."),"Changed in the sheet since the run. Run again before pushing."))</f>
        <v/>
      </c>
      <c r="Q17" s="15" t="n"/>
      <c r="R17" s="15" t="n"/>
    </row>
    <row r="18" ht="45" customHeight="1">
      <c r="A18" s="4" t="inlineStr">
        <is>
          <t>Additional Requests 1</t>
        </is>
      </c>
      <c r="B18" s="6" t="n">
        <v>6</v>
      </c>
      <c r="C18" s="7" t="inlineStr">
        <is>
          <t>Escaped Defect Rate</t>
        </is>
      </c>
      <c r="D18" s="6">
        <f>IFERROR(INDEX(Config!$D$29:$D$37,MATCH($C18,Config!$B$29:$B$37,0)),"")</f>
        <v/>
      </c>
      <c r="E18" s="8">
        <f>COUNTIFS('Defect Register'!$B$4:$B$999,$A18,'Defect Register'!$K$4:$K$999,"&lt;&gt;Yes",'Defect Register'!$I$4:$I$999,"Post-release")</f>
        <v/>
      </c>
      <c r="F18" s="8">
        <f>COUNTIFS('Defect Register'!$B$4:$B$999,$A18,'Defect Register'!$K$4:$K$999,"&lt;&gt;Yes")</f>
        <v/>
      </c>
      <c r="G18" s="8">
        <f>IF(Q18&lt;&gt;"",Q18,IF(OR(N(F18)=0,N(IFERROR(INDEX(Periods!$H$5:$H$200,MATCH($A18,Periods!$B$5:$B$200,0)),0))=0),"",ROUND(E18/F18*100,2)))</f>
        <v/>
      </c>
      <c r="H18" s="8">
        <f>IFERROR(INDEX(Config!$F$29:$F$37,MATCH($C18,Config!$B$29:$B$37,0)),"")</f>
        <v/>
      </c>
      <c r="I18" s="6">
        <f>IFERROR(INDEX(Config!$E$29:$E$37,MATCH($C18,Config!$B$29:$B$37,0)),"")</f>
        <v/>
      </c>
      <c r="J18" s="6">
        <f>IF(G18="","Not measured",IF(H18="","Measured",IF(I18="Min",IF(G18&gt;=H18,"Met","Below minimum"),IF(G18&lt;=H18,"Met","Above maximum"))))</f>
        <v/>
      </c>
      <c r="K18" s="6">
        <f>IF(OR(J18="Below minimum",J18="Above maximum"),"Yes","No")</f>
        <v/>
      </c>
      <c r="L18" s="15" t="n"/>
      <c r="M18" s="15" t="n"/>
      <c r="N18" s="11">
        <f>L18&amp;IF(TRIM(M18)="","",IF(TRIM(L18)="",""," || ")&amp;TRIM(M18))</f>
        <v/>
      </c>
      <c r="O18" s="8" t="n"/>
      <c r="P18" s="11">
        <f>IF(AND(G18="",O18=""),"",IF(AND(ISNUMBER(G18),ISNUMBER(O18)),IF(ABS(G18-O18)&lt;0.006,"","Sheet says "&amp;G18&amp;", the run computed "&amp;O18&amp;". Run again before pushing."),"Changed in the sheet since the run. Run again before pushing."))</f>
        <v/>
      </c>
      <c r="Q18" s="15" t="n"/>
      <c r="R18" s="15" t="n"/>
    </row>
    <row r="19" ht="45" customHeight="1">
      <c r="A19" s="4" t="inlineStr">
        <is>
          <t>Additional Requests 1</t>
        </is>
      </c>
      <c r="B19" s="6" t="n">
        <v>7</v>
      </c>
      <c r="C19" s="7" t="inlineStr">
        <is>
          <t>Defect Rejection Rate</t>
        </is>
      </c>
      <c r="D19" s="6">
        <f>IFERROR(INDEX(Config!$D$29:$D$37,MATCH($C19,Config!$B$29:$B$37,0)),"")</f>
        <v/>
      </c>
      <c r="E19" s="8">
        <f>COUNTIFS('Defect Register'!$B$4:$B$999,$A19,'Defect Register'!$K$4:$K$999,"Yes")</f>
        <v/>
      </c>
      <c r="F19" s="8">
        <f>COUNTIFS('Defect Register'!$B$4:$B$999,$A19)</f>
        <v/>
      </c>
      <c r="G19" s="8">
        <f>IF(Q19&lt;&gt;"",Q19,IF(N(F19)=0,"",ROUND(E19/F19*100,2)))</f>
        <v/>
      </c>
      <c r="H19" s="8">
        <f>IFERROR(INDEX(Config!$F$29:$F$37,MATCH($C19,Config!$B$29:$B$37,0)),"")</f>
        <v/>
      </c>
      <c r="I19" s="6">
        <f>IFERROR(INDEX(Config!$E$29:$E$37,MATCH($C19,Config!$B$29:$B$37,0)),"")</f>
        <v/>
      </c>
      <c r="J19" s="6">
        <f>IF(G19="","Not measured",IF(H19="","Measured",IF(I19="Min",IF(G19&gt;=H19,"Met","Below minimum"),IF(G19&lt;=H19,"Met","Above maximum"))))</f>
        <v/>
      </c>
      <c r="K19" s="6">
        <f>IF(OR(J19="Below minimum",J19="Above maximum"),"Yes","No")</f>
        <v/>
      </c>
      <c r="L19" s="15" t="inlineStr">
        <is>
          <t>None of the 2 reports were rejected.</t>
        </is>
      </c>
      <c r="M19" s="15" t="n"/>
      <c r="N19" s="11">
        <f>L19&amp;IF(TRIM(M19)="","",IF(TRIM(L19)="",""," || ")&amp;TRIM(M19))</f>
        <v/>
      </c>
      <c r="O19" s="8" t="n">
        <v>0</v>
      </c>
      <c r="P19" s="11">
        <f>IF(AND(G19="",O19=""),"",IF(AND(ISNUMBER(G19),ISNUMBER(O19)),IF(ABS(G19-O19)&lt;0.006,"","Sheet says "&amp;G19&amp;", the run computed "&amp;O19&amp;". Run again before pushing."),"Changed in the sheet since the run. Run again before pushing."))</f>
        <v/>
      </c>
      <c r="Q19" s="15" t="n"/>
      <c r="R19" s="15" t="n"/>
    </row>
    <row r="20" ht="45" customHeight="1">
      <c r="A20" s="4" t="inlineStr">
        <is>
          <t>Additional Requests 1</t>
        </is>
      </c>
      <c r="B20" s="6" t="n">
        <v>8</v>
      </c>
      <c r="C20" s="7" t="inlineStr">
        <is>
          <t>Rework Rate</t>
        </is>
      </c>
      <c r="D20" s="6">
        <f>IFERROR(INDEX(Config!$D$29:$D$37,MATCH($C20,Config!$B$29:$B$37,0)),"")</f>
        <v/>
      </c>
      <c r="E20" s="8">
        <f>SUMIFS('Task Register'!$Z$4:$Z$999,'Task Register'!$B$4:$B$999,$A20,'Task Register'!$F$4:$F$999,"&lt;&gt;Excluded",'Task Register'!$M$4:$M$999,"&gt;0",'Task Register'!$AP$4:$AP$999,"&gt;0",'Task Register'!$AL$4:$AL$999,"&lt;&gt;Yes",'Task Register'!$Y$4:$Y$999,"Yes")</f>
        <v/>
      </c>
      <c r="F20" s="8">
        <f>COUNTIFS('Task Register'!$B$4:$B$999,$A20,'Task Register'!$F$4:$F$999,"&lt;&gt;Excluded",'Task Register'!$M$4:$M$999,"&gt;0",'Task Register'!$AP$4:$AP$999,"&gt;0",'Task Register'!$AL$4:$AL$999,"&lt;&gt;Yes",'Task Register'!$Y$4:$Y$999,"Yes")+COUNTIFS('Task Register'!$B$4:$B$999,$A20,'Task Register'!$F$4:$F$999,"&lt;&gt;Excluded",'Task Register'!$M$4:$M$999,"&gt;0",'Task Register'!$AP$4:$AP$999,"&gt;0",'Task Register'!$AL$4:$AL$999,"&lt;&gt;Yes",'Task Register'!$Y$4:$Y$999,"No")</f>
        <v/>
      </c>
      <c r="G20" s="8">
        <f>IF(Q20&lt;&gt;"",Q20,IF(N(F20)=0,"",ROUND(E20/F20*100,2)))</f>
        <v/>
      </c>
      <c r="H20" s="8">
        <f>IFERROR(INDEX(Config!$F$29:$F$37,MATCH($C20,Config!$B$29:$B$37,0)),"")</f>
        <v/>
      </c>
      <c r="I20" s="6">
        <f>IFERROR(INDEX(Config!$E$29:$E$37,MATCH($C20,Config!$B$29:$B$37,0)),"")</f>
        <v/>
      </c>
      <c r="J20" s="6">
        <f>IF(G20="","Not measured",IF(H20="","Measured",IF(I20="Min",IF(G20&gt;=H20,"Met","Below minimum"),IF(G20&lt;=H20,"Met","Above maximum"))))</f>
        <v/>
      </c>
      <c r="K20" s="6">
        <f>IF(OR(J20="Below minimum",J20="Above maximum"),"Yes","No")</f>
        <v/>
      </c>
      <c r="L20" s="15" t="inlineStr">
        <is>
          <t>The one assessed completed task was not reopened after closing. || Each return after another close is counted separately.</t>
        </is>
      </c>
      <c r="M20" s="15" t="n"/>
      <c r="N20" s="11">
        <f>L20&amp;IF(TRIM(M20)="","",IF(TRIM(L20)="",""," || ")&amp;TRIM(M20))</f>
        <v/>
      </c>
      <c r="O20" s="8" t="n">
        <v>0</v>
      </c>
      <c r="P20" s="11">
        <f>IF(AND(G20="",O20=""),"",IF(AND(ISNUMBER(G20),ISNUMBER(O20)),IF(ABS(G20-O20)&lt;0.006,"","Sheet says "&amp;G20&amp;", the run computed "&amp;O20&amp;". Run again before pushing."),"Changed in the sheet since the run. Run again before pushing."))</f>
        <v/>
      </c>
      <c r="Q20" s="15" t="n"/>
      <c r="R20" s="15" t="n"/>
    </row>
    <row r="21" ht="75" customHeight="1">
      <c r="A21" s="4" t="inlineStr">
        <is>
          <t>Additional Requests 1</t>
        </is>
      </c>
      <c r="B21" s="6" t="n">
        <v>9</v>
      </c>
      <c r="C21" s="7" t="inlineStr">
        <is>
          <t>CR Rate</t>
        </is>
      </c>
      <c r="D21" s="6">
        <f>IFERROR(INDEX(Config!$D$29:$D$37,MATCH($C21,Config!$B$29:$B$37,0)),"")</f>
        <v/>
      </c>
      <c r="E21" s="8">
        <f>COUNTIFS('Task Register'!$B$4:$B$999,$A21,'Task Register'!$F$4:$F$999,"CR")</f>
        <v/>
      </c>
      <c r="F21" s="8">
        <f>IF(OR(Config!$C$25="Whole project",COUNTIFS('Task Register'!$B$4:$B$999,$A21,'Task Register'!$F$4:$F$999,"Task")=0),COUNTIFS('Task Register'!$F$4:$F$999,"Task"),COUNTIFS('Task Register'!$B$4:$B$999,$A21,'Task Register'!$F$4:$F$999,"Task"))</f>
        <v/>
      </c>
      <c r="G21" s="8">
        <f>IF(Q21&lt;&gt;"",Q21,IF(N(F21)=0,"",ROUND(E21/F21*100,2)))</f>
        <v/>
      </c>
      <c r="H21" s="8">
        <f>IFERROR(INDEX(Config!$F$29:$F$37,MATCH($C21,Config!$B$29:$B$37,0)),"")</f>
        <v/>
      </c>
      <c r="I21" s="6">
        <f>IFERROR(INDEX(Config!$E$29:$E$37,MATCH($C21,Config!$B$29:$B$37,0)),"")</f>
        <v/>
      </c>
      <c r="J21" s="6">
        <f>IF(G21="","Not measured",IF(H21="","Measured",IF(I21="Min",IF(G21&gt;=H21,"Met","Below minimum"),IF(G21&lt;=H21,"Met","Above maximum"))))</f>
        <v/>
      </c>
      <c r="K21" s="6">
        <f>IF(OR(J21="Below minimum",J21="Above maximum"),"Yes","No")</f>
        <v/>
      </c>
      <c r="L21" s="15" t="inlineStr">
        <is>
          <t>The client added 2 Additional Requests on top of the 7 planned items (28.57%). || This cycle is made up only of Additional Requests, so they are measured against the planned items of the whole project.</t>
        </is>
      </c>
      <c r="M21" s="15" t="n"/>
      <c r="N21" s="11">
        <f>L21&amp;IF(TRIM(M21)="","",IF(TRIM(L21)="",""," || ")&amp;TRIM(M21))</f>
        <v/>
      </c>
      <c r="O21" s="8" t="n">
        <v>28.57</v>
      </c>
      <c r="P21" s="11">
        <f>IF(AND(G21="",O21=""),"",IF(AND(ISNUMBER(G21),ISNUMBER(O21)),IF(ABS(G21-O21)&lt;0.006,"","Sheet says "&amp;G21&amp;", the run computed "&amp;O21&amp;". Run again before pushing."),"Changed in the sheet since the run. Run again before pushing."))</f>
        <v/>
      </c>
      <c r="Q21" s="15" t="n"/>
      <c r="R21" s="15" t="n"/>
    </row>
  </sheetData>
  <conditionalFormatting sqref="J4:J21">
    <cfRule type="expression" priority="1" dxfId="4" stopIfTrue="0">
      <formula>J4="Met"</formula>
    </cfRule>
    <cfRule type="expression" priority="2" dxfId="5" stopIfTrue="0">
      <formula>OR(J4="Below minimum",J4="Above maximum")</formula>
    </cfRule>
  </conditionalFormatting>
  <conditionalFormatting sqref="M4:M21">
    <cfRule type="expression" priority="3" dxfId="6" stopIfTrue="0">
      <formula>AND(K4="Yes",M4="")</formula>
    </cfRule>
  </conditionalFormatting>
  <conditionalFormatting sqref="P4:P21">
    <cfRule type="expression" priority="4" dxfId="3" stopIfTrue="0">
      <formula>P4&lt;&gt;""</formula>
    </cfRule>
  </conditionalFormatting>
  <pageMargins left="0.75" right="0.75" top="1" bottom="1" header="0.5" footer="0.5"/>
</worksheet>
</file>

<file path=xl/worksheets/sheet8.xml><?xml version="1.0" encoding="utf-8"?>
<worksheet xmlns="http://schemas.openxmlformats.org/spreadsheetml/2006/main">
  <sheetPr>
    <tabColor rgb="00BF9000"/>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4" customWidth="1" min="1" max="1"/>
    <col width="26" customWidth="1" min="2" max="2"/>
    <col width="70" customWidth="1" min="3" max="3"/>
    <col width="40" customWidth="1" min="4" max="4"/>
    <col width="40" customWidth="1" min="5" max="5"/>
    <col width="12" customWidth="1" min="6" max="6"/>
    <col hidden="1" width="18" customWidth="1" min="7" max="7"/>
  </cols>
  <sheetData>
    <row r="1">
      <c r="B1" s="1" t="inlineStr">
        <is>
          <t>Open Questions</t>
        </is>
      </c>
    </row>
    <row r="2">
      <c r="B2" s="2" t="inlineStr">
        <is>
          <t>What the sources on file could not answer. Type the answer in the yellow cell; the next run reads it, keeps it, and stops asking. Nothing here was guessed - an unanswered row is left out of the numbers.</t>
        </is>
      </c>
    </row>
    <row r="3">
      <c r="A3" s="5" t="inlineStr">
        <is>
          <t>#</t>
        </is>
      </c>
      <c r="B3" s="5" t="inlineStr">
        <is>
          <t>About</t>
        </is>
      </c>
      <c r="C3" s="5" t="inlineStr">
        <is>
          <t>Question</t>
        </is>
      </c>
      <c r="D3" s="5" t="inlineStr">
        <is>
          <t>If nobody answers</t>
        </is>
      </c>
      <c r="E3" s="5" t="inlineStr">
        <is>
          <t>Your answer</t>
        </is>
      </c>
      <c r="F3" s="5" t="inlineStr">
        <is>
          <t>Asked on</t>
        </is>
      </c>
      <c r="G3" s="5" t="inlineStr">
        <is>
          <t>ID</t>
        </is>
      </c>
    </row>
    <row r="4">
      <c r="A4" s="6">
        <f>IF(B4="","",ROW()-3)</f>
        <v/>
      </c>
      <c r="B4" s="4" t="inlineStr">
        <is>
          <t>Delivery documentation</t>
        </is>
      </c>
      <c r="C4" s="4" t="inlineStr">
        <is>
          <t>'Delivery documentation' is in the plan but has no card on the board. Was it delivered, and on what date?</t>
        </is>
      </c>
      <c r="D4" s="4" t="inlineStr">
        <is>
          <t>Leave it as not delivered.</t>
        </is>
      </c>
      <c r="E4" s="15" t="n"/>
      <c r="F4" s="14" t="n">
        <v>46283</v>
      </c>
      <c r="G4" s="11" t="inlineStr">
        <is>
          <t>scope:deliverydocumentation</t>
        </is>
      </c>
    </row>
    <row r="5">
      <c r="A5" s="6">
        <f>IF(B5="","",ROW()-3)</f>
        <v/>
      </c>
      <c r="B5" s="4" t="inlineStr">
        <is>
          <t>Additional Requests 1</t>
        </is>
      </c>
      <c r="C5" s="4" t="inlineStr">
        <is>
          <t>Additional Requests 1 had a client delivery date of 09/11. When did its build reach the client? It decides Escaped Defect Rate and the client-date check.</t>
        </is>
      </c>
      <c r="D5" s="4" t="inlineStr">
        <is>
          <t>Leave it as not handed over yet.</t>
        </is>
      </c>
      <c r="E5" s="15" t="n"/>
      <c r="F5" s="14" t="n">
        <v>46283</v>
      </c>
      <c r="G5" s="11" t="inlineStr">
        <is>
          <t>handover:Additional Requests 1</t>
        </is>
      </c>
    </row>
    <row r="6">
      <c r="A6" s="6">
        <f>IF(B6="","",ROW()-3)</f>
        <v/>
      </c>
      <c r="B6" s="4" t="inlineStr">
        <is>
          <t>Initial Scope · Velocity</t>
        </is>
      </c>
      <c r="C6" s="4" t="inlineStr">
        <is>
          <t>Review this measurement: Velocity is not measured in hours: 1 of 9 delivered items lack the required estimate.</t>
        </is>
      </c>
      <c r="D6" s="4" t="n"/>
      <c r="E6" s="15" t="n"/>
      <c r="F6" s="14" t="n">
        <v>46283</v>
      </c>
      <c r="G6" s="11" t="inlineStr">
        <is>
          <t>review:Initial Scope|Velocity:44f513bea98c</t>
        </is>
      </c>
    </row>
    <row r="7">
      <c r="A7" s="6">
        <f>IF(B7="","",ROW()-3)</f>
        <v/>
      </c>
      <c r="B7" s="4" t="inlineStr">
        <is>
          <t>Initial Scope · Velocity</t>
        </is>
      </c>
      <c r="C7" s="4" t="inlineStr">
        <is>
          <t>Review this measurement: Record the missing estimate or finish the group whose estimate cannot be split; blank does not mean zero.</t>
        </is>
      </c>
      <c r="D7" s="4" t="n"/>
      <c r="E7" s="15" t="n"/>
      <c r="F7" s="14" t="n">
        <v>46283</v>
      </c>
      <c r="G7" s="11" t="inlineStr">
        <is>
          <t>review:Initial Scope|Velocity:2dc5ca0234a4</t>
        </is>
      </c>
    </row>
    <row r="8">
      <c r="A8" s="6">
        <f>IF(B8="","",ROW()-3)</f>
        <v/>
      </c>
      <c r="B8" s="4" t="inlineStr">
        <is>
          <t>Initial Scope · Velocity</t>
        </is>
      </c>
      <c r="C8" s="4" t="inlineStr">
        <is>
          <t>Review this measurement: Velocity is not measured in hours: 1 of 9 delivered items lack the required estimate. Record the missing estimate or finish the group whose estimate cannot be split; blank does not mean zero.</t>
        </is>
      </c>
      <c r="D8" s="4" t="n"/>
      <c r="E8" s="15" t="n"/>
      <c r="F8" s="14" t="n">
        <v>46283</v>
      </c>
      <c r="G8" s="11" t="inlineStr">
        <is>
          <t>review:Initial Scope|Velocity:ab970eeec24f</t>
        </is>
      </c>
    </row>
    <row r="9">
      <c r="A9" s="6">
        <f>IF(B9="","",ROW()-3)</f>
        <v/>
      </c>
      <c r="B9" s="4" t="inlineStr">
        <is>
          <t>Initial Scope · Task Comprehension</t>
        </is>
      </c>
      <c r="C9" s="4" t="inlineStr">
        <is>
          <t>Review this measurement: 1 other item could not be assessed because individual discussion history was unavailable.</t>
        </is>
      </c>
      <c r="D9" s="4" t="n"/>
      <c r="E9" s="15" t="n"/>
      <c r="F9" s="14" t="n">
        <v>46283</v>
      </c>
      <c r="G9" s="11" t="inlineStr">
        <is>
          <t>review:Initial Scope|Task Comprehension:4a614a2dcd40</t>
        </is>
      </c>
    </row>
    <row r="10">
      <c r="A10" s="6">
        <f>IF(B10="","",ROW()-3)</f>
        <v/>
      </c>
      <c r="B10" s="4" t="inlineStr">
        <is>
          <t>Initial Scope · Escaped Defect Rate</t>
        </is>
      </c>
      <c r="C10" s="4" t="inlineStr">
        <is>
          <t>Review this measurement: The available record does not establish why testing missed it.</t>
        </is>
      </c>
      <c r="D10" s="4" t="n"/>
      <c r="E10" s="15" t="n"/>
      <c r="F10" s="14" t="n">
        <v>46283</v>
      </c>
      <c r="G10" s="11" t="inlineStr">
        <is>
          <t>review:Initial Scope|Escaped Defect Rate:dd4d174099e2</t>
        </is>
      </c>
    </row>
    <row r="11">
      <c r="A11" s="6">
        <f>IF(B11="","",ROW()-3)</f>
        <v/>
      </c>
      <c r="B11" s="4" t="inlineStr">
        <is>
          <t>Additional Requests 1 · Escaped Defect Rate</t>
        </is>
      </c>
      <c r="C11" s="4" t="inlineStr">
        <is>
          <t>Review this measurement: A client handover has not been recorded, so defects found after handover cannot be measured yet.</t>
        </is>
      </c>
      <c r="D11" s="4" t="n"/>
      <c r="E11" s="15" t="n"/>
      <c r="F11" s="14" t="n">
        <v>46283</v>
      </c>
      <c r="G11" s="11" t="inlineStr">
        <is>
          <t>review:Additional Requests 1|Escaped Defect Rate:22581d6d8ed6</t>
        </is>
      </c>
    </row>
    <row r="12">
      <c r="A12" s="6">
        <f>IF(B12="","",ROW()-3)</f>
        <v/>
      </c>
      <c r="B12" s="4" t="inlineStr">
        <is>
          <t>Additional Requests 1 · Escaped Defect Rate</t>
        </is>
      </c>
      <c r="C12" s="4" t="inlineStr">
        <is>
          <t>Review this measurement: A client handover date is not recorded, so escaped defects cannot be assessed yet.</t>
        </is>
      </c>
      <c r="D12" s="4" t="n"/>
      <c r="E12" s="15" t="n"/>
      <c r="F12" s="14" t="n">
        <v>46283</v>
      </c>
      <c r="G12" s="11" t="inlineStr">
        <is>
          <t>review:Additional Requests 1|Escaped Defect Rate:d96b991cda8a</t>
        </is>
      </c>
    </row>
    <row r="13">
      <c r="A13" s="6">
        <f>IF(B13="","",ROW()-3)</f>
        <v/>
      </c>
      <c r="B13" s="4" t="n"/>
      <c r="C13" s="4" t="n"/>
      <c r="D13" s="4" t="n"/>
      <c r="E13" s="15" t="n"/>
      <c r="F13" s="4" t="n"/>
      <c r="G13" s="11" t="n"/>
    </row>
    <row r="14">
      <c r="A14" s="6">
        <f>IF(B14="","",ROW()-3)</f>
        <v/>
      </c>
      <c r="B14" s="4" t="n"/>
      <c r="C14" s="4" t="n"/>
      <c r="D14" s="4" t="n"/>
      <c r="E14" s="15" t="n"/>
      <c r="F14" s="4" t="n"/>
      <c r="G14" s="11" t="n"/>
    </row>
    <row r="15">
      <c r="A15" s="6">
        <f>IF(B15="","",ROW()-3)</f>
        <v/>
      </c>
      <c r="B15" s="4" t="n"/>
      <c r="C15" s="4" t="n"/>
      <c r="D15" s="4" t="n"/>
      <c r="E15" s="15" t="n"/>
      <c r="F15" s="4" t="n"/>
      <c r="G15" s="11" t="n"/>
    </row>
    <row r="16">
      <c r="A16" s="6">
        <f>IF(B16="","",ROW()-3)</f>
        <v/>
      </c>
      <c r="B16" s="4" t="n"/>
      <c r="C16" s="4" t="n"/>
      <c r="D16" s="4" t="n"/>
      <c r="E16" s="15" t="n"/>
      <c r="F16" s="4" t="n"/>
      <c r="G16" s="11" t="n"/>
    </row>
    <row r="17">
      <c r="A17" s="6">
        <f>IF(B17="","",ROW()-3)</f>
        <v/>
      </c>
      <c r="B17" s="4" t="n"/>
      <c r="C17" s="4" t="n"/>
      <c r="D17" s="4" t="n"/>
      <c r="E17" s="15" t="n"/>
      <c r="F17" s="4" t="n"/>
      <c r="G17" s="11" t="n"/>
    </row>
    <row r="18">
      <c r="A18" s="6">
        <f>IF(B18="","",ROW()-3)</f>
        <v/>
      </c>
      <c r="B18" s="4" t="n"/>
      <c r="C18" s="4" t="n"/>
      <c r="D18" s="4" t="n"/>
      <c r="E18" s="15" t="n"/>
      <c r="F18" s="4" t="n"/>
      <c r="G18" s="11" t="n"/>
    </row>
    <row r="19">
      <c r="A19" s="6">
        <f>IF(B19="","",ROW()-3)</f>
        <v/>
      </c>
      <c r="B19" s="4" t="n"/>
      <c r="C19" s="4" t="n"/>
      <c r="D19" s="4" t="n"/>
      <c r="E19" s="15" t="n"/>
      <c r="F19" s="4" t="n"/>
      <c r="G19" s="11" t="n"/>
    </row>
    <row r="20">
      <c r="A20" s="6">
        <f>IF(B20="","",ROW()-3)</f>
        <v/>
      </c>
      <c r="B20" s="4" t="n"/>
      <c r="C20" s="4" t="n"/>
      <c r="D20" s="4" t="n"/>
      <c r="E20" s="15" t="n"/>
      <c r="F20" s="4" t="n"/>
      <c r="G20" s="11" t="n"/>
    </row>
    <row r="21">
      <c r="A21" s="6">
        <f>IF(B21="","",ROW()-3)</f>
        <v/>
      </c>
      <c r="B21" s="4" t="n"/>
      <c r="C21" s="4" t="n"/>
      <c r="D21" s="4" t="n"/>
      <c r="E21" s="15" t="n"/>
      <c r="F21" s="4" t="n"/>
      <c r="G21" s="11" t="n"/>
    </row>
    <row r="22">
      <c r="A22" s="6">
        <f>IF(B22="","",ROW()-3)</f>
        <v/>
      </c>
      <c r="B22" s="4" t="n"/>
      <c r="C22" s="4" t="n"/>
      <c r="D22" s="4" t="n"/>
      <c r="E22" s="15" t="n"/>
      <c r="F22" s="4" t="n"/>
      <c r="G22" s="11" t="n"/>
    </row>
    <row r="23">
      <c r="A23" s="6">
        <f>IF(B23="","",ROW()-3)</f>
        <v/>
      </c>
      <c r="B23" s="4" t="n"/>
      <c r="C23" s="4" t="n"/>
      <c r="D23" s="4" t="n"/>
      <c r="E23" s="15" t="n"/>
      <c r="F23" s="4" t="n"/>
      <c r="G23" s="11" t="n"/>
    </row>
    <row r="24">
      <c r="A24" s="6">
        <f>IF(B24="","",ROW()-3)</f>
        <v/>
      </c>
      <c r="B24" s="4" t="n"/>
      <c r="C24" s="4" t="n"/>
      <c r="D24" s="4" t="n"/>
      <c r="E24" s="15" t="n"/>
      <c r="F24" s="4" t="n"/>
      <c r="G24" s="11" t="n"/>
    </row>
  </sheetData>
  <pageMargins left="0.75" right="0.75" top="1" bottom="1" header="0.5" footer="0.5"/>
</worksheet>
</file>

<file path=xl/worksheets/sheet9.xml><?xml version="1.0" encoding="utf-8"?>
<worksheet xmlns="http://schemas.openxmlformats.org/spreadsheetml/2006/main">
  <sheetPr>
    <tabColor rgb="007F7F7F"/>
    <outlinePr summaryBelow="1" summaryRight="1"/>
    <pageSetUpPr/>
  </sheetPr>
  <dimension ref="A1:E16"/>
  <sheetViews>
    <sheetView showGridLines="0" workbookViewId="0">
      <selection activeCell="A1" sqref="A1"/>
    </sheetView>
  </sheetViews>
  <sheetFormatPr baseColWidth="8" defaultRowHeight="15"/>
  <cols>
    <col width="4" customWidth="1" min="1" max="1"/>
    <col width="22" customWidth="1" min="2" max="2"/>
    <col width="14" customWidth="1" min="3" max="3"/>
    <col width="22" customWidth="1" min="4" max="4"/>
    <col width="80" customWidth="1" min="5" max="5"/>
  </cols>
  <sheetData>
    <row r="1">
      <c r="B1" s="1" t="inlineStr">
        <is>
          <t>Run Log</t>
        </is>
      </c>
    </row>
    <row r="2">
      <c r="B2" s="2" t="inlineStr">
        <is>
          <t>What this run read, what it deliberately did not, and how long it took. A run reads the sources on this list and nothing else; anything they could not answer is on the Open Questions tab.</t>
        </is>
      </c>
    </row>
    <row r="3">
      <c r="A3" s="5" t="inlineStr">
        <is>
          <t>#</t>
        </is>
      </c>
      <c r="B3" s="5" t="inlineStr">
        <is>
          <t>Source</t>
        </is>
      </c>
      <c r="C3" s="5" t="inlineStr">
        <is>
          <t>State</t>
        </is>
      </c>
      <c r="D3" s="5" t="inlineStr">
        <is>
          <t>As of</t>
        </is>
      </c>
      <c r="E3" s="5" t="inlineStr">
        <is>
          <t>Note</t>
        </is>
      </c>
    </row>
    <row r="4">
      <c r="A4" s="4" t="n">
        <v>1</v>
      </c>
      <c r="B4" s="4" t="inlineStr">
        <is>
          <t>issue tracker</t>
        </is>
      </c>
      <c r="C4" s="4" t="inlineStr">
        <is>
          <t>read</t>
        </is>
      </c>
      <c r="D4" s="14" t="n">
        <v>46283</v>
      </c>
      <c r="E4" s="4" t="inlineStr">
        <is>
          <t>25 cards; history refreshed for 25, reused for 0 unchanged</t>
        </is>
      </c>
    </row>
    <row r="5">
      <c r="A5" s="4" t="n">
        <v>2</v>
      </c>
      <c r="B5" s="4" t="inlineStr">
        <is>
          <t>estimates</t>
        </is>
      </c>
      <c r="C5" s="4" t="inlineStr">
        <is>
          <t>fresh</t>
        </is>
      </c>
      <c r="D5" s="4" t="inlineStr">
        <is>
          <t>a2c1a8dc38b0d6d0</t>
        </is>
      </c>
      <c r="E5" s="4" t="n"/>
    </row>
    <row r="6">
      <c r="A6" s="4" t="n">
        <v>3</v>
      </c>
      <c r="B6" s="4" t="inlineStr">
        <is>
          <t>timeline</t>
        </is>
      </c>
      <c r="C6" s="4" t="inlineStr">
        <is>
          <t>fresh</t>
        </is>
      </c>
      <c r="D6" s="4" t="inlineStr">
        <is>
          <t>6d9cb96b34922f52</t>
        </is>
      </c>
      <c r="E6" s="4" t="n"/>
    </row>
    <row r="7">
      <c r="A7" s="4" t="n">
        <v>4</v>
      </c>
      <c r="B7" s="4" t="inlineStr">
        <is>
          <t>chat, mail, other documents</t>
        </is>
      </c>
      <c r="C7" s="4" t="inlineStr">
        <is>
          <t>not read</t>
        </is>
      </c>
      <c r="D7" s="4" t="n"/>
      <c r="E7" s="4" t="inlineStr">
        <is>
          <t>Outside this run's sources. Add one to the profile, or ask for a deep run, to include it.</t>
        </is>
      </c>
    </row>
    <row r="9">
      <c r="B9" s="12" t="inlineStr">
        <is>
          <t>This run</t>
        </is>
      </c>
      <c r="C9" s="12" t="n"/>
      <c r="D9" s="12" t="n"/>
      <c r="E9" s="12" t="n"/>
    </row>
    <row r="10">
      <c r="B10" s="7" t="inlineStr">
        <is>
          <t>Run on</t>
        </is>
      </c>
      <c r="C10" s="14" t="n">
        <v>46283</v>
      </c>
    </row>
    <row r="11">
      <c r="B11" s="7" t="inlineStr">
        <is>
          <t>Tool version</t>
        </is>
      </c>
      <c r="C11" s="4" t="inlineStr">
        <is>
          <t>2.1.0</t>
        </is>
      </c>
    </row>
    <row r="12">
      <c r="B12" s="7" t="inlineStr">
        <is>
          <t>Source-of-truth mode</t>
        </is>
      </c>
      <c r="C12" s="4" t="inlineStr">
        <is>
          <t>tracker-first</t>
        </is>
      </c>
    </row>
    <row r="13">
      <c r="B13" s="7" t="inlineStr">
        <is>
          <t>Cards read</t>
        </is>
      </c>
      <c r="C13" s="4" t="n">
        <v>25</v>
      </c>
    </row>
    <row r="14">
      <c r="B14" s="7" t="inlineStr">
        <is>
          <t>Judged by an assistant or a person (kept)</t>
        </is>
      </c>
      <c r="C14" s="4" t="n">
        <v>0</v>
      </c>
    </row>
    <row r="15">
      <c r="B15" s="7" t="inlineStr">
        <is>
          <t>Waiting for an assistant</t>
        </is>
      </c>
      <c r="C15" s="4" t="n">
        <v>6</v>
      </c>
    </row>
    <row r="16">
      <c r="B16" s="7" t="inlineStr">
        <is>
          <t>Waiting for a person</t>
        </is>
      </c>
      <c r="C16" s="4" t="n">
        <v>9</v>
      </c>
    </row>
  </sheetData>
  <pageMargins left="0.75" right="0.75" top="1" bottom="1" header="0.5" footer="0.5"/>
</worksheet>
</file>

<file path=xl/worksheets/sheet10.xml><?xml version="1.0" encoding="utf-8"?>
<worksheet xmlns="http://schemas.openxmlformats.org/spreadsheetml/2006/main">
  <sheetPr>
    <tabColor rgb="007F7F7F"/>
    <outlinePr summaryBelow="1" summaryRight="1"/>
    <pageSetUpPr/>
  </sheetPr>
  <dimension ref="A1:H23"/>
  <sheetViews>
    <sheetView showGridLines="0" workbookViewId="0">
      <selection activeCell="A1" sqref="A1"/>
    </sheetView>
  </sheetViews>
  <sheetFormatPr baseColWidth="8" defaultRowHeight="15"/>
  <cols>
    <col width="4" customWidth="1" min="1" max="1"/>
    <col width="18" customWidth="1" min="2" max="2"/>
    <col width="16" customWidth="1" min="3" max="3"/>
    <col width="13" customWidth="1" min="4" max="4"/>
    <col width="12" customWidth="1" min="5" max="5"/>
    <col width="80" customWidth="1" min="6" max="6"/>
    <col width="20" customWidth="1" min="7" max="7"/>
    <col width="30" customWidth="1" min="8" max="8"/>
  </cols>
  <sheetData>
    <row r="1">
      <c r="B1" s="1" t="inlineStr">
        <is>
          <t>PMS Push Log</t>
        </is>
      </c>
    </row>
    <row r="2">
      <c r="B2" s="2" t="inlineStr">
        <is>
          <t>One line each time values are sent to PMS. Added by the push.</t>
        </is>
      </c>
    </row>
    <row r="3" ht="31.5" customHeight="1">
      <c r="A3" s="5" t="inlineStr">
        <is>
          <t>#</t>
        </is>
      </c>
      <c r="B3" s="5" t="inlineStr">
        <is>
          <t>Pushed On</t>
        </is>
      </c>
      <c r="C3" s="5" t="inlineStr">
        <is>
          <t>Period</t>
        </is>
      </c>
      <c r="D3" s="5" t="inlineStr">
        <is>
          <t>PMS Period ID</t>
        </is>
      </c>
      <c r="E3" s="5" t="inlineStr">
        <is>
          <t>Action</t>
        </is>
      </c>
      <c r="F3" s="5" t="inlineStr">
        <is>
          <t>What changed</t>
        </is>
      </c>
      <c r="G3" s="5" t="inlineStr">
        <is>
          <t>Note or pushed by</t>
        </is>
      </c>
      <c r="H3" s="5" t="inlineStr">
        <is>
          <t>Result</t>
        </is>
      </c>
    </row>
    <row r="4">
      <c r="A4" s="6">
        <f>IF(B4="","",ROW()-3)</f>
        <v/>
      </c>
      <c r="B4" s="4" t="n"/>
      <c r="C4" s="4" t="n"/>
      <c r="D4" s="4" t="n"/>
      <c r="E4" s="4" t="n"/>
      <c r="F4" s="4" t="n"/>
      <c r="G4" s="4" t="n"/>
      <c r="H4" s="4" t="n"/>
    </row>
    <row r="5">
      <c r="A5" s="6">
        <f>IF(B5="","",ROW()-3)</f>
        <v/>
      </c>
      <c r="B5" s="4" t="n"/>
      <c r="C5" s="4" t="n"/>
      <c r="D5" s="4" t="n"/>
      <c r="E5" s="4" t="n"/>
      <c r="F5" s="4" t="n"/>
      <c r="G5" s="4" t="n"/>
      <c r="H5" s="4" t="n"/>
    </row>
    <row r="6">
      <c r="A6" s="6">
        <f>IF(B6="","",ROW()-3)</f>
        <v/>
      </c>
      <c r="B6" s="4" t="n"/>
      <c r="C6" s="4" t="n"/>
      <c r="D6" s="4" t="n"/>
      <c r="E6" s="4" t="n"/>
      <c r="F6" s="4" t="n"/>
      <c r="G6" s="4" t="n"/>
      <c r="H6" s="4" t="n"/>
    </row>
    <row r="7">
      <c r="A7" s="6">
        <f>IF(B7="","",ROW()-3)</f>
        <v/>
      </c>
      <c r="B7" s="4" t="n"/>
      <c r="C7" s="4" t="n"/>
      <c r="D7" s="4" t="n"/>
      <c r="E7" s="4" t="n"/>
      <c r="F7" s="4" t="n"/>
      <c r="G7" s="4" t="n"/>
      <c r="H7" s="4" t="n"/>
    </row>
    <row r="8">
      <c r="A8" s="6">
        <f>IF(B8="","",ROW()-3)</f>
        <v/>
      </c>
      <c r="B8" s="4" t="n"/>
      <c r="C8" s="4" t="n"/>
      <c r="D8" s="4" t="n"/>
      <c r="E8" s="4" t="n"/>
      <c r="F8" s="4" t="n"/>
      <c r="G8" s="4" t="n"/>
      <c r="H8" s="4" t="n"/>
    </row>
    <row r="9">
      <c r="A9" s="6">
        <f>IF(B9="","",ROW()-3)</f>
        <v/>
      </c>
      <c r="B9" s="4" t="n"/>
      <c r="C9" s="4" t="n"/>
      <c r="D9" s="4" t="n"/>
      <c r="E9" s="4" t="n"/>
      <c r="F9" s="4" t="n"/>
      <c r="G9" s="4" t="n"/>
      <c r="H9" s="4" t="n"/>
    </row>
    <row r="10">
      <c r="A10" s="6">
        <f>IF(B10="","",ROW()-3)</f>
        <v/>
      </c>
      <c r="B10" s="4" t="n"/>
      <c r="C10" s="4" t="n"/>
      <c r="D10" s="4" t="n"/>
      <c r="E10" s="4" t="n"/>
      <c r="F10" s="4" t="n"/>
      <c r="G10" s="4" t="n"/>
      <c r="H10" s="4" t="n"/>
    </row>
    <row r="11">
      <c r="A11" s="6">
        <f>IF(B11="","",ROW()-3)</f>
        <v/>
      </c>
      <c r="B11" s="4" t="n"/>
      <c r="C11" s="4" t="n"/>
      <c r="D11" s="4" t="n"/>
      <c r="E11" s="4" t="n"/>
      <c r="F11" s="4" t="n"/>
      <c r="G11" s="4" t="n"/>
      <c r="H11" s="4" t="n"/>
    </row>
    <row r="12">
      <c r="A12" s="6">
        <f>IF(B12="","",ROW()-3)</f>
        <v/>
      </c>
      <c r="B12" s="4" t="n"/>
      <c r="C12" s="4" t="n"/>
      <c r="D12" s="4" t="n"/>
      <c r="E12" s="4" t="n"/>
      <c r="F12" s="4" t="n"/>
      <c r="G12" s="4" t="n"/>
      <c r="H12" s="4" t="n"/>
    </row>
    <row r="13">
      <c r="A13" s="6">
        <f>IF(B13="","",ROW()-3)</f>
        <v/>
      </c>
      <c r="B13" s="4" t="n"/>
      <c r="C13" s="4" t="n"/>
      <c r="D13" s="4" t="n"/>
      <c r="E13" s="4" t="n"/>
      <c r="F13" s="4" t="n"/>
      <c r="G13" s="4" t="n"/>
      <c r="H13" s="4" t="n"/>
    </row>
    <row r="14">
      <c r="A14" s="6">
        <f>IF(B14="","",ROW()-3)</f>
        <v/>
      </c>
      <c r="B14" s="4" t="n"/>
      <c r="C14" s="4" t="n"/>
      <c r="D14" s="4" t="n"/>
      <c r="E14" s="4" t="n"/>
      <c r="F14" s="4" t="n"/>
      <c r="G14" s="4" t="n"/>
      <c r="H14" s="4" t="n"/>
    </row>
    <row r="15">
      <c r="A15" s="6">
        <f>IF(B15="","",ROW()-3)</f>
        <v/>
      </c>
      <c r="B15" s="4" t="n"/>
      <c r="C15" s="4" t="n"/>
      <c r="D15" s="4" t="n"/>
      <c r="E15" s="4" t="n"/>
      <c r="F15" s="4" t="n"/>
      <c r="G15" s="4" t="n"/>
      <c r="H15" s="4" t="n"/>
    </row>
    <row r="16">
      <c r="A16" s="6">
        <f>IF(B16="","",ROW()-3)</f>
        <v/>
      </c>
      <c r="B16" s="4" t="n"/>
      <c r="C16" s="4" t="n"/>
      <c r="D16" s="4" t="n"/>
      <c r="E16" s="4" t="n"/>
      <c r="F16" s="4" t="n"/>
      <c r="G16" s="4" t="n"/>
      <c r="H16" s="4" t="n"/>
    </row>
    <row r="17">
      <c r="A17" s="6">
        <f>IF(B17="","",ROW()-3)</f>
        <v/>
      </c>
      <c r="B17" s="4" t="n"/>
      <c r="C17" s="4" t="n"/>
      <c r="D17" s="4" t="n"/>
      <c r="E17" s="4" t="n"/>
      <c r="F17" s="4" t="n"/>
      <c r="G17" s="4" t="n"/>
      <c r="H17" s="4" t="n"/>
    </row>
    <row r="18">
      <c r="A18" s="6">
        <f>IF(B18="","",ROW()-3)</f>
        <v/>
      </c>
      <c r="B18" s="4" t="n"/>
      <c r="C18" s="4" t="n"/>
      <c r="D18" s="4" t="n"/>
      <c r="E18" s="4" t="n"/>
      <c r="F18" s="4" t="n"/>
      <c r="G18" s="4" t="n"/>
      <c r="H18" s="4" t="n"/>
    </row>
    <row r="19">
      <c r="A19" s="6">
        <f>IF(B19="","",ROW()-3)</f>
        <v/>
      </c>
      <c r="B19" s="4" t="n"/>
      <c r="C19" s="4" t="n"/>
      <c r="D19" s="4" t="n"/>
      <c r="E19" s="4" t="n"/>
      <c r="F19" s="4" t="n"/>
      <c r="G19" s="4" t="n"/>
      <c r="H19" s="4" t="n"/>
    </row>
    <row r="20">
      <c r="A20" s="6">
        <f>IF(B20="","",ROW()-3)</f>
        <v/>
      </c>
      <c r="B20" s="4" t="n"/>
      <c r="C20" s="4" t="n"/>
      <c r="D20" s="4" t="n"/>
      <c r="E20" s="4" t="n"/>
      <c r="F20" s="4" t="n"/>
      <c r="G20" s="4" t="n"/>
      <c r="H20" s="4" t="n"/>
    </row>
    <row r="21">
      <c r="A21" s="6">
        <f>IF(B21="","",ROW()-3)</f>
        <v/>
      </c>
      <c r="B21" s="4" t="n"/>
      <c r="C21" s="4" t="n"/>
      <c r="D21" s="4" t="n"/>
      <c r="E21" s="4" t="n"/>
      <c r="F21" s="4" t="n"/>
      <c r="G21" s="4" t="n"/>
      <c r="H21" s="4" t="n"/>
    </row>
    <row r="22">
      <c r="A22" s="6">
        <f>IF(B22="","",ROW()-3)</f>
        <v/>
      </c>
      <c r="B22" s="4" t="n"/>
      <c r="C22" s="4" t="n"/>
      <c r="D22" s="4" t="n"/>
      <c r="E22" s="4" t="n"/>
      <c r="F22" s="4" t="n"/>
      <c r="G22" s="4" t="n"/>
      <c r="H22" s="4" t="n"/>
    </row>
    <row r="23">
      <c r="A23" s="6">
        <f>IF(B23="","",ROW()-3)</f>
        <v/>
      </c>
      <c r="B23" s="4" t="n"/>
      <c r="C23" s="4" t="n"/>
      <c r="D23" s="4" t="n"/>
      <c r="E23" s="4" t="n"/>
      <c r="F23" s="4" t="n"/>
      <c r="G23" s="4" t="n"/>
      <c r="H23"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2026-09-21T12:00:34Z</dcterms:created>
  <dcterms:modified xsi:type="dcterms:W3CDTF">2026-09-21T12:00:34Z</dcterms:modified>
</cp:coreProperties>
</file>